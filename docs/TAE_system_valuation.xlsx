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Bayar\programming\python\tae\docs\"/>
    </mc:Choice>
  </mc:AlternateContent>
  <xr:revisionPtr revIDLastSave="0" documentId="13_ncr:1_{82F27326-5A40-47B2-9235-3930798901D7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Дүгнэлт" sheetId="1" r:id="rId1"/>
    <sheet name="Тохиргоо" sheetId="2" r:id="rId2"/>
    <sheet name="Чадварууд" sheetId="3" r:id="rId3"/>
    <sheet name="Бүлгээр" sheetId="4" r:id="rId4"/>
    <sheet name="Арга зүй" sheetId="5" r:id="rId5"/>
  </sheets>
  <definedNames>
    <definedName name="_xlnm._FilterDatabase" localSheetId="2" hidden="1">Чадварууд!$A$1:$L$38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4" l="1"/>
  <c r="B11" i="4"/>
  <c r="C10" i="4"/>
  <c r="B10" i="4"/>
  <c r="C9" i="4"/>
  <c r="B9" i="4"/>
  <c r="C8" i="4"/>
  <c r="B8" i="4"/>
  <c r="C7" i="4"/>
  <c r="B7" i="4"/>
  <c r="F6" i="4"/>
  <c r="C6" i="4"/>
  <c r="B6" i="4"/>
  <c r="F5" i="4"/>
  <c r="D5" i="4"/>
  <c r="C5" i="4"/>
  <c r="B5" i="4"/>
  <c r="F4" i="4"/>
  <c r="D4" i="4"/>
  <c r="C4" i="4"/>
  <c r="B4" i="4"/>
  <c r="D3" i="4"/>
  <c r="C3" i="4"/>
  <c r="B3" i="4"/>
  <c r="C2" i="4"/>
  <c r="C12" i="4" s="1"/>
  <c r="B2" i="4"/>
  <c r="J39" i="3"/>
  <c r="F39" i="3"/>
  <c r="K38" i="3"/>
  <c r="G38" i="3"/>
  <c r="H38" i="3" s="1"/>
  <c r="K37" i="3"/>
  <c r="G37" i="3"/>
  <c r="H37" i="3" s="1"/>
  <c r="K36" i="3"/>
  <c r="G36" i="3"/>
  <c r="H36" i="3" s="1"/>
  <c r="K35" i="3"/>
  <c r="G35" i="3"/>
  <c r="H35" i="3" s="1"/>
  <c r="K34" i="3"/>
  <c r="G34" i="3"/>
  <c r="H34" i="3" s="1"/>
  <c r="K33" i="3"/>
  <c r="G33" i="3"/>
  <c r="H33" i="3" s="1"/>
  <c r="K32" i="3"/>
  <c r="G32" i="3"/>
  <c r="H32" i="3" s="1"/>
  <c r="K31" i="3"/>
  <c r="G31" i="3"/>
  <c r="H31" i="3" s="1"/>
  <c r="K30" i="3"/>
  <c r="G30" i="3"/>
  <c r="H30" i="3" s="1"/>
  <c r="K29" i="3"/>
  <c r="G29" i="3"/>
  <c r="H29" i="3" s="1"/>
  <c r="K28" i="3"/>
  <c r="F11" i="4" s="1"/>
  <c r="G28" i="3"/>
  <c r="H28" i="3" s="1"/>
  <c r="K27" i="3"/>
  <c r="H27" i="3"/>
  <c r="G27" i="3"/>
  <c r="K26" i="3"/>
  <c r="G26" i="3"/>
  <c r="K25" i="3"/>
  <c r="G25" i="3"/>
  <c r="H25" i="3" s="1"/>
  <c r="K24" i="3"/>
  <c r="G24" i="3"/>
  <c r="H24" i="3" s="1"/>
  <c r="K23" i="3"/>
  <c r="G23" i="3"/>
  <c r="K22" i="3"/>
  <c r="G22" i="3"/>
  <c r="H22" i="3" s="1"/>
  <c r="K21" i="3"/>
  <c r="G21" i="3"/>
  <c r="H21" i="3" s="1"/>
  <c r="K20" i="3"/>
  <c r="F8" i="4" s="1"/>
  <c r="G20" i="3"/>
  <c r="H20" i="3" s="1"/>
  <c r="K19" i="3"/>
  <c r="G19" i="3"/>
  <c r="H19" i="3" s="1"/>
  <c r="K18" i="3"/>
  <c r="G18" i="3"/>
  <c r="H18" i="3" s="1"/>
  <c r="K17" i="3"/>
  <c r="G17" i="3"/>
  <c r="H17" i="3" s="1"/>
  <c r="K16" i="3"/>
  <c r="G16" i="3"/>
  <c r="H16" i="3" s="1"/>
  <c r="K15" i="3"/>
  <c r="F7" i="4" s="1"/>
  <c r="G15" i="3"/>
  <c r="H15" i="3" s="1"/>
  <c r="K14" i="3"/>
  <c r="G14" i="3"/>
  <c r="H14" i="3" s="1"/>
  <c r="K13" i="3"/>
  <c r="G13" i="3"/>
  <c r="K12" i="3"/>
  <c r="G12" i="3"/>
  <c r="H12" i="3" s="1"/>
  <c r="K11" i="3"/>
  <c r="G11" i="3"/>
  <c r="H11" i="3" s="1"/>
  <c r="K10" i="3"/>
  <c r="G10" i="3"/>
  <c r="H10" i="3" s="1"/>
  <c r="K9" i="3"/>
  <c r="G9" i="3"/>
  <c r="H9" i="3" s="1"/>
  <c r="K8" i="3"/>
  <c r="F3" i="4" s="1"/>
  <c r="G8" i="3"/>
  <c r="H8" i="3" s="1"/>
  <c r="K7" i="3"/>
  <c r="G7" i="3"/>
  <c r="H7" i="3" s="1"/>
  <c r="K6" i="3"/>
  <c r="G6" i="3"/>
  <c r="H6" i="3" s="1"/>
  <c r="K5" i="3"/>
  <c r="G5" i="3"/>
  <c r="H5" i="3" s="1"/>
  <c r="K4" i="3"/>
  <c r="G4" i="3"/>
  <c r="H4" i="3" s="1"/>
  <c r="K3" i="3"/>
  <c r="G3" i="3"/>
  <c r="H3" i="3" s="1"/>
  <c r="K2" i="3"/>
  <c r="K39" i="3" s="1"/>
  <c r="B13" i="1" s="1"/>
  <c r="G2" i="3"/>
  <c r="H2" i="3" s="1"/>
  <c r="B12" i="1"/>
  <c r="B6" i="1"/>
  <c r="B5" i="1"/>
  <c r="D9" i="4" l="1"/>
  <c r="D6" i="4"/>
  <c r="F2" i="4"/>
  <c r="F12" i="4" s="1"/>
  <c r="D10" i="4"/>
  <c r="F10" i="4"/>
  <c r="F9" i="4"/>
  <c r="D8" i="4"/>
  <c r="B12" i="4"/>
  <c r="C13" i="1"/>
  <c r="B14" i="1"/>
  <c r="C14" i="1" s="1"/>
  <c r="B15" i="1"/>
  <c r="D11" i="4"/>
  <c r="G39" i="3"/>
  <c r="B7" i="1" s="1"/>
  <c r="D7" i="4"/>
  <c r="H13" i="3"/>
  <c r="D2" i="4"/>
  <c r="H23" i="3"/>
  <c r="H26" i="3"/>
  <c r="H39" i="3" l="1"/>
  <c r="B8" i="1"/>
  <c r="C8" i="1" s="1"/>
  <c r="C7" i="1"/>
  <c r="D12" i="4"/>
  <c r="C15" i="1"/>
  <c r="B16" i="1"/>
  <c r="C16" i="1" s="1"/>
  <c r="B9" i="1" l="1"/>
  <c r="B19" i="1"/>
  <c r="C9" i="1"/>
  <c r="B20" i="1"/>
  <c r="C20" i="1" s="1"/>
  <c r="E6" i="4"/>
  <c r="E11" i="4"/>
  <c r="E5" i="4"/>
  <c r="E10" i="4"/>
  <c r="E4" i="4"/>
  <c r="E9" i="4"/>
  <c r="E3" i="4"/>
  <c r="E2" i="4"/>
  <c r="E8" i="4"/>
  <c r="E7" i="4"/>
  <c r="E12" i="4" l="1"/>
  <c r="B21" i="1"/>
  <c r="C21" i="1" s="1"/>
  <c r="C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Үнэлгээ</author>
  </authors>
  <commentList>
    <comment ref="F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Ижил чадварыг тэгээс хийхэд шинжилгээ, хөгжүүлэлт, тест, нэвтрүүлэлтэд шаардагдах цагийн таамаг.</t>
        </r>
      </text>
    </comment>
    <comment ref="J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Энэ чадвар гар ажлыг (Excel, тооцоо, тулгалт) хэдэн цагаар орлодгийн жилийн таамаг.</t>
        </r>
      </text>
    </comment>
  </commentList>
</comments>
</file>

<file path=xl/sharedStrings.xml><?xml version="1.0" encoding="utf-8"?>
<sst xmlns="http://schemas.openxmlformats.org/spreadsheetml/2006/main" count="288" uniqueCount="206">
  <si>
    <t>TAE системийн үнэлгээ</t>
  </si>
  <si>
    <t>Хоёр аргаар үнэлж, хоорондох мужийг гаргасан. Таамаглалыг "Тохиргоо" хуудаснаас өөрчилнө.</t>
  </si>
  <si>
    <t>₮</t>
  </si>
  <si>
    <t>$</t>
  </si>
  <si>
    <t>А. Орлуулах өртгийн арга (ижил системийг шинээр хийх зардал)</t>
  </si>
  <si>
    <t>Чадварын тоо</t>
  </si>
  <si>
    <t>Нийт хөгжүүлэлтийн цаг</t>
  </si>
  <si>
    <t>Орлуулах өртөг (хасалтын өмнө)</t>
  </si>
  <si>
    <t>Чанарын хасалт</t>
  </si>
  <si>
    <t>Орлуулах өртөг (цэвэр)</t>
  </si>
  <si>
    <t>Б. Хэмнэлтийн арга (гар ажлыг орлосны үнэ цэнэ)</t>
  </si>
  <si>
    <t>Жилийн хэмнэлт (цаг)</t>
  </si>
  <si>
    <t>Жилийн хэмнэлт (₮)</t>
  </si>
  <si>
    <t>Засвар үйлчилгээний хасалт (жилд)</t>
  </si>
  <si>
    <t>Цэвэр жилийн хэмнэлт</t>
  </si>
  <si>
    <t>Хэмнэлтийн аргаар үнэлгээ</t>
  </si>
  <si>
    <t>Дүгнэлт: үнэлгээний муж</t>
  </si>
  <si>
    <t>Доод хязгаар</t>
  </si>
  <si>
    <t>Дээд хязгаар</t>
  </si>
  <si>
    <t>Дундаж</t>
  </si>
  <si>
    <t>Үнэлгээг юу нэмэгдүүлж байна:</t>
  </si>
  <si>
    <t>• Монголын цалин, НДШ, ХХОАТ, хоолны мөнгө, борлуулалтын нэмэгдлийн дүрмийг агуулсан тул бэлэн программаар шууд орлуулахад хэцүү.</t>
  </si>
  <si>
    <t>• Нягтлангийн программ (MSSQL), хурууны хээний төхөөрөмж, AI-тай холбогдсон: өгөгдлийг дахин гараар оруулах шаардлагагүй.</t>
  </si>
  <si>
    <t>• Цаг бүртгэл → хоног бүртгэл → цалин, хоолны мөнгө, нэмэгдэл гэсэн гинжин тооцоо нэг системд холбогдсон.</t>
  </si>
  <si>
    <t>• Албан тушаалын эрх, URL хамгаалалт, ХТ-ийн сувгийн хязгаарлалтаар мэдээллийн нууцлалыг хангадаг.</t>
  </si>
  <si>
    <t>Үнэлгээг юу бууруулж байна:</t>
  </si>
  <si>
    <t>• Автомат тест бараг байхгүй: өөрчлөлт бүрийг гараар шалгах шаардлагатай, алдааны эрсдэлтэй.</t>
  </si>
  <si>
    <t>• shop/views.py нэг файлд ~6,500 мөр: шинэ хөгжүүлэгч ойлгоход удаан.</t>
  </si>
  <si>
    <t>• Git түүх 2 commit-оос эхэлсэн: шийдвэрийн түүх баримтжаагүй.</t>
  </si>
  <si>
    <t>• Нэг байгууллагад тусгайлан хийгдсэн: өөр компанид зарах (SaaS) үнэ цэнэ тооцоогүй, нэмэлт ажил шаардана.</t>
  </si>
  <si>
    <t>• Хуваарьт ажлууд Windows Task Scheduler-т тулгуурласан.</t>
  </si>
  <si>
    <t>Тайлбар: энэ нь кодын шинжилгээнд суурилсан ойролцоо тооцоо, мэргэжлийн үнэлгээчний дүгнэлт биш.</t>
  </si>
  <si>
    <t>Үнэлгээний таамаглал (шар нүдийг өөрчилж болно)</t>
  </si>
  <si>
    <t>Хөгжүүлэгчийн цагийн хөлс</t>
  </si>
  <si>
    <t>Таамаг: Монголд гэрээгээр (outsource) веб систем хөгжүүлэх дундаж цагийн хөлс. Өөрийн мэдээллээр солиорой.</t>
  </si>
  <si>
    <t>Ажилтны цагийн өртөг (нягтлан, ХН)</t>
  </si>
  <si>
    <t>Таамаг: сарын ~3.2 сая ₮ цалин / 160 цаг. Хэмнэсэн цагийг мөнгөнд шилжүүлэхэд хэрэглэнэ.</t>
  </si>
  <si>
    <t>Долларын ханш (₮ / $)</t>
  </si>
  <si>
    <t>Таамаг: ойролцоо ханш. Монголбанкны өдрийн ханшаар солиорой.</t>
  </si>
  <si>
    <t>Таамаг: автомат тест бараг байхгүй (3 тест), views.py нэг файлд 6,500 мөр, git түүх 2 commit, хуваарь Windows-д тулгуурласан. Худалдан авагч/шинэ хөгжүүлэгч эдгээрийг засахад зарцуулах ажлыг хассан.</t>
  </si>
  <si>
    <t>Хэмнэлтийн аргын жил</t>
  </si>
  <si>
    <t>Таамаг: системийн ашиглагдах хугацаа (томоохон шинэчлэлгүйгээр).</t>
  </si>
  <si>
    <t>Жилийн засвар үйлчилгээний хувь</t>
  </si>
  <si>
    <t>Таамаг: хэмнэлтээс засвар, хөгжүүлэлт, сервер, API-ийн зардалд зарцуулагдах хувь.</t>
  </si>
  <si>
    <t>Тэмдэглэгээ: цэнхэр = оруулсан тоо, хар = томьёо, ногоон = өөр хуудаснаас холбосон. Шар нүдийг л өөрчилнө.</t>
  </si>
  <si>
    <t>№</t>
  </si>
  <si>
    <t>Бүлэг</t>
  </si>
  <si>
    <t>Чадвар</t>
  </si>
  <si>
    <t>Юу хийдэг</t>
  </si>
  <si>
    <t>Нарийн төвөгшил (1-5)</t>
  </si>
  <si>
    <t>Хөгжүүлэлтийн цаг (таамаг)</t>
  </si>
  <si>
    <t>Орлуулах өртөг (₮)</t>
  </si>
  <si>
    <t>Орлуулах өртөг ($)</t>
  </si>
  <si>
    <t>Бизнесийн ач холбогдол</t>
  </si>
  <si>
    <t>Жилийн хэмнэлт (цаг, таамаг)</t>
  </si>
  <si>
    <t>Үнэлгээний шалтгаан</t>
  </si>
  <si>
    <t>Платформ</t>
  </si>
  <si>
    <t>MSSQL → PostgreSQL өгөгдөл синк</t>
  </si>
  <si>
    <t>Нягтлангийн программын (MSSQL) view-үүдийг PostgreSQL рүү COPY-оор хурдан татаж, түр хүснэгтээс нэг гүйлгээнд солино; дараа нь индекс сэргээж, кэш бэлдэнэ.</t>
  </si>
  <si>
    <t>Өндөр</t>
  </si>
  <si>
    <t>Бүх тайлан энэ давхарга дээр суурилдаг тул системийн гол тулгуур. Тасалдалгүй солих (atomic swap), view-г нэрээр нь олох, COPY ашиглах зэрэг нь энгийн ETL-ээс давсан шийдэл. Шууд цаг хэмнэхгүй (бусад мөрийн хэмнэлтэд орсон).</t>
  </si>
  <si>
    <t>Тайлангийн кэш ба индекс</t>
  </si>
  <si>
    <t>Синк бүрийн дараа тайлангийн индексийг сэргээж, хүснэгтийн хувилбараар (OID + өөрчлөлтийн тоолуур) хүчингүй болдог файл кэш.</t>
  </si>
  <si>
    <t>Дунд</t>
  </si>
  <si>
    <t>Том хүснэгт дээрх тайланг секундэд гаргадаг гүйцэтгэлийн шийдэл. Кэшийг гараар цэвэрлэх шаардлагагүй болгосон нь алдааны эрсдэлийг бууруулна.</t>
  </si>
  <si>
    <t>Өгөгдөл шинэчлэх хуудас</t>
  </si>
  <si>
    <t>Superuser сонгосон нэг хүснэгтийг хүссэн үедээ MSSQL-ээс татах, явцыг харах хуудас.</t>
  </si>
  <si>
    <t>Бага</t>
  </si>
  <si>
    <t>Жижиг боловч өдрийн хуваарийг хүлээлгүй тоо шинэчлэх боломж олгоно. Хэрэглээ нь зөвхөн админд.</t>
  </si>
  <si>
    <t>Эрхийн систем (цэс + URL хамгаалалт)</t>
  </si>
  <si>
    <t>Албан тушаал бүрээр цэс харуулах/нуух, бүлэглэл өөрчлөх тохиргооны хуудас; нуусан хуудсыг хаягаар нь ч нээхгүй middleware.</t>
  </si>
  <si>
    <t>Цалин, санхүүгийн нууц мэдээллийг хамгаалдаг. Нэг газраас (menuconfig) цэс, эрх, URL хамгаалалт автоматаар үүсдэг тул шинэ хуудас нэмэхэд эрх мартагдах эрсдэлгүй.</t>
  </si>
  <si>
    <t>Нэвтрэлт, бүртгэл, ажилтны хэрэглэгч синк</t>
  </si>
  <si>
    <t>Нэвтрэх, бүртгүүлэх, нууц үг сэргээх; ажилтнуудын хэрэглэгчийг имэйлээр нь автоматаар үүсгэх/холбох команд.</t>
  </si>
  <si>
    <t>Стандарт Django боломж дээр суурилсан тул нэмүү өртөг дунд зэрэг; ажилтан-хэрэглэгчийн холбоос нь хувийн мэдээллийн хуудсуудын үндэс.</t>
  </si>
  <si>
    <t>Deploy ба хуваарьт ажлууд</t>
  </si>
  <si>
    <t>Docker, Caddy (HTTPS proxy), Windows Task Scheduler-ийн скриптүүд (синк, үлдэгдэл, цаг бүртгэл).</t>
  </si>
  <si>
    <t>Системийг байнга ажиллуулах дэд бүтэц. Windows-д тулгуурласан хуваарь нь шилжүүлэхэд нэмэлт ажил шаардана.</t>
  </si>
  <si>
    <t>Нийтийн</t>
  </si>
  <si>
    <t>Бүтээгдэхүүний каталог</t>
  </si>
  <si>
    <t>Нүүр хуудас, бүтээгдэхүүний жагсаалт, дэлгэрэнгүй, засах; сувгийн үнэ хавсаргах.</t>
  </si>
  <si>
    <t>Харилцагчид бараагаа харуулах нүүр царай. Борлуулалтад шууд нөлөө нь хэмжигдээгүй тул дунд гэж үнэлэв.</t>
  </si>
  <si>
    <t>AI чат (Claude API) ба үлдэгдэл лавлагаа</t>
  </si>
  <si>
    <t>Сайт дээрх AI туслах; барааны үлдэгдлийг асуухад ашиглах JSON endpoint (n8n-тэй холбогддог).</t>
  </si>
  <si>
    <t>Орчин үеийн боломж, үлдэгдлийн асуултад хүн хариулах ачааллыг бууруулна. API-ийн зардал тусдаа гарна.</t>
  </si>
  <si>
    <t>Хяналтын самбар</t>
  </si>
  <si>
    <t>Нүүр хяналтын самбар</t>
  </si>
  <si>
    <t>Ажилтанд зориулсан гол үзүүлэлтүүдийн самбар.</t>
  </si>
  <si>
    <t>Удирдлагад нэг дороос тойм өгнө; гүнзгий тооцоо нь бусад тайланд хийгддэг.</t>
  </si>
  <si>
    <t>Хувийн мэдээлэл</t>
  </si>
  <si>
    <t>Ажилтны self-service</t>
  </si>
  <si>
    <t>Ажилтан өөрийн цаг бүртгэл, цалингийн задаргаа, борлуулалтын нэмэгдлийг өөрөө харна.</t>
  </si>
  <si>
    <t>Нягтлан, ХН-ийн ажилтанд ирэх "миний цалин яагаад ийм вэ" гэсэн асуултыг бууруулж, ил тод байдал нэмнэ. Зөвхөн өөрийн мэдээллийг харуулах эрхийн логиктой.</t>
  </si>
  <si>
    <t>Бараа материал</t>
  </si>
  <si>
    <t>Барааны үлдэгдэл</t>
  </si>
  <si>
    <t>2 цаг тутам шинэчлэгддэг snapshot-оос агуулах, бараагаар үлдэгдэл харуулна.</t>
  </si>
  <si>
    <t>Борлуулалт, хангамжийн өдөр тутмын шийдвэрт хэрэглэгддэг. Snapshot нь нягтлангийн программыг ачаалахгүй.</t>
  </si>
  <si>
    <t>Барааны үнэ</t>
  </si>
  <si>
    <t>Барааны үнийн жагсаалт, суваг бүрийн үнэ, Excel экспорт.</t>
  </si>
  <si>
    <t>Энгийн боловч өдөр бүр хэрэглэгддэг лавлагаа.</t>
  </si>
  <si>
    <t>Барааны өртөг</t>
  </si>
  <si>
    <t>Бараа тус бүрийн дундаж өртөг, татан авалтын өртгийг огноогоор, НӨАТ-тэй/гүйгээр харьцуулна.</t>
  </si>
  <si>
    <t>Үнэ тогтоох, ашгийн шинжилгээнд чухал. Хөдөлж буй жигнэсэн дундаж, НӨАТ-ийн тохируулга зэрэг санхүүгийн нарийн логиктой.</t>
  </si>
  <si>
    <t>Борлуулалт</t>
  </si>
  <si>
    <t>Борлуулалтын тайлан</t>
  </si>
  <si>
    <t>Сар, жил, нийтээр нэгтгэсэн борлуулалт (GROUPING SETS), харилцагчийн задаргаа, Excel экспорт, кэш.</t>
  </si>
  <si>
    <t>Удирдлагын гол тайлан. Нэг query-д бүх түвшнийг бодож, индекс, кэшээр хурдасгасан нь их өгөгдөл дээр ч ажиллана.</t>
  </si>
  <si>
    <t>Борлуулалтын тайлан ХТ-р (хүснэгт)</t>
  </si>
  <si>
    <t>Худалдааны төлөөлөгчийн сувгуудын борлуулалтыг бараа × харилцагч × сараар, бүлгийн мод бүтцээр шүүнэ.</t>
  </si>
  <si>
    <t>ХТ бүрийн гүйцэтгэлийг хянах үндсэн хэрэгсэл; харилцагчийн бүлгийн мод бүтэц, тоо болон дүн хоёулаа гаргадаг.</t>
  </si>
  <si>
    <t>ХТ dashboard</t>
  </si>
  <si>
    <t>Сар, суваг, борлуулагч, харилцагч, бараа, гарагаар график; бохир ашиг; өмнөх үетэй харьцуулалт.</t>
  </si>
  <si>
    <t>Харьцуулах үе (өмнөх үе, өнгөрсөн жил) болон бохир ашгийн тооцоо нь шийдвэр гаргалтад шууд хэрэгтэй.</t>
  </si>
  <si>
    <t>ХТ задаргаа (pivot)</t>
  </si>
  <si>
    <t>Хамгийн нарийн түвшний нэгтгэлийг хөтөч рүү илгээж, мөр/баганыг хэрэглэгч өөрөө сонгож эргүүлнэ.</t>
  </si>
  <si>
    <t>Excel-ийн pivot-ыг орлоно; захиалгын тоог давхардалгүй тоолох зэрэг нарийн логиктой.</t>
  </si>
  <si>
    <t>ХТ-ийн эрхийн хязгаарлалт</t>
  </si>
  <si>
    <t>Нэвтэрсэн ХТ зөвхөн өөрийн хариуцсан сувгийг харна; хариуцагчийг сүүлийн борлуулалтаар автоматаар тодорхойлно.</t>
  </si>
  <si>
    <t>Мэдээллийн нууцлалыг гар тохиргоогүйгээр хангадаг ухаалаг дүрэм.</t>
  </si>
  <si>
    <t>Түгээлт</t>
  </si>
  <si>
    <t>Түгээлтийн тайлан</t>
  </si>
  <si>
    <t>Түгээлтийн баримтуудаас түгээгч, өдрөөр нэгтгэсэн тайлан.</t>
  </si>
  <si>
    <t>Түгээгчийн ачаалал, гүйцэтгэлийг хянана; логик нь харьцангуй энгийн.</t>
  </si>
  <si>
    <t>Хангамж</t>
  </si>
  <si>
    <t>Татан авалтын тайлан</t>
  </si>
  <si>
    <t>Импортын татан авалт бүрийн бараа, гааль, бусад зардал, нийт өртөг, хүлээгдэж буй ашиг; захиалгын санал; экспорт.</t>
  </si>
  <si>
    <t>Олон валют (EUR, RUB, CNY), зардлын хувь, ашгийн тооцоотой; хангамжийн шийдвэрт шууд нөлөөлнө.</t>
  </si>
  <si>
    <t>Ачаа буулгалт</t>
  </si>
  <si>
    <t>Ачаа бүрт оролцсон ажилчид, тэдний хөлс, гаднаас хөлсөлсөн хүмүүс, сарын нэгтгэл, Excel.</t>
  </si>
  <si>
    <t>Ачигчдын хөлсийг гар тооцооноос автомат болгосон; цалинтай холбогдох өгөгдөл.</t>
  </si>
  <si>
    <t>Хоолны бүртгэл ба цикл</t>
  </si>
  <si>
    <t>Хоол, орц, 10 өдрийн цикл дэх дугаар, идэвхгүй болгох, хэвлэх.</t>
  </si>
  <si>
    <t>Гал тогооны цэсийг системчилсэн; дараагийн хоолны тооцоонуудын үндэс.</t>
  </si>
  <si>
    <t>Хоол идэх нэрс</t>
  </si>
  <si>
    <t>Өдөр бүр хоол идсэн хүмүүс, тухайн өдрийн бодит орц, хоол солих/хачир нэмэх, хэвлэх.</t>
  </si>
  <si>
    <t>Хоолны мөнгө, материалын зарцуулалт хоёулаа энэ бүртгэлээс тооцогддог тул нарийвчлал чухал.</t>
  </si>
  <si>
    <t>Хоолны нэгтгэл ба материалын тооцоо</t>
  </si>
  <si>
    <t>Огнооны хооронд орц/хүнээр нэгтгэл; ирэх өдрүүдийн материалын хэрэгцээ.</t>
  </si>
  <si>
    <t>Худалдан авалтын төлөвлөлтөд хэрэглэгдэнэ; илүүдэл/дутагдлыг бууруулна.</t>
  </si>
  <si>
    <t>Санхүү</t>
  </si>
  <si>
    <t>Зардлын тооцоолол (сар, жил)</t>
  </si>
  <si>
    <t>Зардлын дансаар сар, жилийн нэгтгэл, гүйлгээний дэлгэрэнгүй.</t>
  </si>
  <si>
    <t>Удирдлагын зардлын хяналт; ерөнхий журналаас шууд татдаг тул гар нэгтгэл шаардлагагүй.</t>
  </si>
  <si>
    <t>Авлага / өглөгийн тайлан</t>
  </si>
  <si>
    <t>Харилцагч бүрийн эхний/эцсийн үлдэгдэл, нэмэгдсэн/төлөгдсөн, дэлгэрэнгүй дансны хуулга, Excel.</t>
  </si>
  <si>
    <t>Мөнгөн урсгалын удирдлагад шууд нөлөөтэй; дансны ангиллын (12xx, 18xx, 3xxx) нягтлан бодох бүртгэлийн логиктой.</t>
  </si>
  <si>
    <t>Хүний нөөц</t>
  </si>
  <si>
    <t>Цаг бүртгэлийн төхөөрөмж синк</t>
  </si>
  <si>
    <t>ZKTeco хурууны хээний төхөөрөмжөөс ирц татах; мерчандайзерын зочилсон бүртгэлийг Excel-ээс импортлох.</t>
  </si>
  <si>
    <t>Төхөөрөмжийн протоколтой (pyzk) шууд холбогддог; гараар экспорт/импорт хийх ажлыг арилгасан.</t>
  </si>
  <si>
    <t>Цаг бүртгэлийн тооцоо</t>
  </si>
  <si>
    <t>Түүхий ирцээс өдөр бүрийн ирэх/явах, хоцролт, цагийн чөлөө тооцох; засах, нэмэх, нуух, бөөнөөр устгах, шүүлт хадгалах, Excel.</t>
  </si>
  <si>
    <t>Цалингийн бүх тооцооны эх үүсвэр. Ээлж, олон төрлийн засвар, тулгалт бүхий хамгийн нарийн модулиудын нэг.</t>
  </si>
  <si>
    <t>Албан тушаалын тохиргоо, хурууны мэдээлэл</t>
  </si>
  <si>
    <t>Албан тушаал бүрийн ажлын горим, хоолны мөнгөний хэмжээ; ажилтан бүрийн төхөөрөмж дээрх код.</t>
  </si>
  <si>
    <t>Бусад тооцооны тохиргоо; бизнесийн дүрмийг кодоос салгаж хэрэглэгчид засуулдаг.</t>
  </si>
  <si>
    <t>Хоног бүртгэл</t>
  </si>
  <si>
    <t>Ажлын горим (Бямба, ээлж), байгууллагын амралтын өдөр, шилжин ажилласан албан тушаал, насаар шүүх; сарын нэгтгэл, Excel.</t>
  </si>
  <si>
    <t>Цалин, хоолны мөнгө хоёулаа үүн дээр суурилдаг; олон онцгой тохиолдлыг зөв шийдсэн нь өндөр үнэ цэнэтэй.</t>
  </si>
  <si>
    <t>Цалин бодолт (карт, бэлэн)</t>
  </si>
  <si>
    <t>Үндсэн цалин, НДШ, ХХОАТ, удаан жилийн нэмэгдэл, хадгаламж, эрсдэлийн сан, хуримтлал, унааны мөнгө, хосолсон ажилтан.</t>
  </si>
  <si>
    <t>Хамгийн их цаг хэмнэдэг, алдаа нь шууд мөнгөн хохирол болдог модуль. Монголын татвар, НДШ-ийн дүрэм агуулсан тул бэлэн программаар орлуулахад хэцүү.</t>
  </si>
  <si>
    <t>Цалингийн хэвлэх загвар</t>
  </si>
  <si>
    <t>Хуудас, хүснэгт бүрт хэвлэх баганыг тохиргооноос сонгох, хасалтын дүнг автоматаар дамжуулах.</t>
  </si>
  <si>
    <t>Гарын үсэг зуруулах цаасан тайланг кодгүйгээр өөрчлөх боломж.</t>
  </si>
  <si>
    <t>Сар хаах ба цалингийн тайлан</t>
  </si>
  <si>
    <t>Бодогдсон цалинг тухайн үеийн ажилтны мэдээлэлтэй хадгалж, сар/ажилтан/хэлтсээр тайлан гаргана.</t>
  </si>
  <si>
    <t>Өнгөрсөн сарын тоо дараа өөрчлөгдөхгүй байх аудитын шаардлагыг хангадаг.</t>
  </si>
  <si>
    <t>Цалингийн урьдчилгаа (карт, бэлэн)</t>
  </si>
  <si>
    <t>Сарын дундах урьдчилгааг карт, бэлнээр тооцож хэвлэх.</t>
  </si>
  <si>
    <t>Цалин бодолтын логикийг дахин ашигладаг жижиг модуль.</t>
  </si>
  <si>
    <t>Бэлэн цалингийн данс</t>
  </si>
  <si>
    <t>Гараар бичсэн дансны дугаарыг Монгол IBAN болгон цэгцэлж, банкийг кодоор нь тодорхойлно.</t>
  </si>
  <si>
    <t>Шилжүүлгийн алдааг бууруулдаг жижиг туслах хэрэгсэл.</t>
  </si>
  <si>
    <t>Хоолны мөнгө</t>
  </si>
  <si>
    <t>Ажилласан ч хоол идээгүй өдрийн мөнгө; албан тушаалаар задлах, харуулын 24 цагийн ээлж, гар засвар, хоног бүртгэлтэй тулгах, хэвлэх, Excel.</t>
  </si>
  <si>
    <t>Цаг бүртгэл, хоол идэх нэрс, албан тушаалын тохиргоо гурвыг өдрөөр тулгадаг нарийн тооцоо; гар тооцоонд алдаа ихтэй байсан ажил.</t>
  </si>
  <si>
    <t>Борлуулалтын нэмэгдэл</t>
  </si>
  <si>
    <t>Нярав, ХТ, борлуулагч, түгээгчийн нэмэгдлийг албан тушаалын схемээр бодож, карт/бэлэнд хуваарилж цалинд бичнэ.</t>
  </si>
  <si>
    <t>Борлуулалт, буцаалт, түгээлтийн өгөгдлийг цалинтай холбосон; урамшууллын ил тод байдлыг хангана.</t>
  </si>
  <si>
    <t>НИЙТ</t>
  </si>
  <si>
    <t>Цаг ба хэмнэлтийн тоо нь кодын хэмжээ, логикийн нарийн төвөгшилд үндэслэсэн таамаг (цэнхэр).</t>
  </si>
  <si>
    <t>Хөгжүүлэлтийн цаг</t>
  </si>
  <si>
    <t>Хувь</t>
  </si>
  <si>
    <t>Арга зүй ба кодын үзүүлэлтүүд</t>
  </si>
  <si>
    <t>Орлуулах өртгийн арга</t>
  </si>
  <si>
    <t>Чадвар бүрийг тэгээс хийхэд шаардагдах цагийг кодын хэмжээ, бизнесийн дүрмийн тоо, гадаад системтэй холболт, онцгой тохиолдлуудаар таамаглаж, цагийн хөлсөөр үржүүлэв.</t>
  </si>
  <si>
    <t>1 = энгийн жагсаалт/экспорт; 3 = хэд хэдэн эх үүсвэр нэгтгэсэн тайлан; 5 = олон модульд нөлөөлөх, санхүүгийн/хуулийн дүрэм агуулсан тооцоо (цалин, цаг бүртгэл).</t>
  </si>
  <si>
    <t>Хэмнэлтийн арга</t>
  </si>
  <si>
    <t>Чадвар бүр жилд хэдэн цагийн гар ажлыг (Excel тооцоо, тулгалт, асуултад хариулах) орлодгийг таамаглаж, ажилтны цагийн өртгөөр үржүүлэв; засвар үйлчилгээг хасаж, ашиглах жилээр үржүүлэв.</t>
  </si>
  <si>
    <t>Хамрах хүрээ</t>
  </si>
  <si>
    <t>Зөвхөн программ хангамжийн үнэ цэнэ. Өгөгдөл, сервер, лиценз, удирдлагын шийдвэрийн чанар сайжирсны шууд бус үр ашиг ороогүй.</t>
  </si>
  <si>
    <t>Кодын үзүүлэлт (2026-10-09-нд кодоос тоолсон)</t>
  </si>
  <si>
    <t>Python код (shop + datamigration гол файлууд)</t>
  </si>
  <si>
    <t>мөр</t>
  </si>
  <si>
    <t>shop/views.py</t>
  </si>
  <si>
    <t>HTML загвар</t>
  </si>
  <si>
    <t>файл</t>
  </si>
  <si>
    <t>HTML загварын мөр</t>
  </si>
  <si>
    <t>Өгөгдлийн сангийн migration</t>
  </si>
  <si>
    <t>Автомат тест</t>
  </si>
  <si>
    <t>тест</t>
  </si>
  <si>
    <t>Цэсний хуудас</t>
  </si>
  <si>
    <t>хуудас</t>
  </si>
  <si>
    <t>Git commit</t>
  </si>
  <si>
    <t>commit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</si>
</sst>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&quot; ₮&quot;;\(#,##0&quot; ₮&quot;\);&quot;-&quot;"/>
    <numFmt numFmtId="165" formatCode="#,##0;\(#,##0\);&quot;-&quot;"/>
    <numFmt numFmtId="166" formatCode="0.0%;\(0.0%\);&quot;-&quot;"/>
    <numFmt numFmtId="167" formatCode="&quot;$&quot;#,##0;\(&quot;$&quot;#,##0\);&quot;-&quot;"/>
  </numFmts>
  <fonts count="10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1"/>
      <name val="Arial"/>
    </font>
    <font>
      <sz val="11"/>
      <color rgb="FF0000FF"/>
      <name val="Arial"/>
    </font>
    <font>
      <sz val="11"/>
      <name val="Arial"/>
    </font>
    <font>
      <i/>
      <sz val="11"/>
      <name val="Arial"/>
    </font>
    <font>
      <b/>
      <sz val="11"/>
      <color rgb="FFFFFFFF"/>
      <name val="Arial"/>
    </font>
    <font>
      <sz val="11"/>
      <color rgb="FF008000"/>
      <name val="Arial"/>
    </font>
    <font>
      <b/>
      <sz val="11"/>
      <color rgb="FF008000"/>
      <name val="Arial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9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2" fillId="5" borderId="0" xfId="0" applyFont="1" applyFill="1"/>
    <xf numFmtId="0" fontId="9" fillId="5" borderId="0" xfId="0" applyFont="1" applyFill="1"/>
    <xf numFmtId="0" fontId="4" fillId="0" borderId="0" xfId="0" applyFont="1"/>
    <xf numFmtId="165" fontId="7" fillId="0" borderId="1" xfId="0" applyNumberFormat="1" applyFont="1" applyBorder="1"/>
    <xf numFmtId="164" fontId="7" fillId="0" borderId="1" xfId="0" applyNumberFormat="1" applyFont="1" applyBorder="1"/>
    <xf numFmtId="167" fontId="7" fillId="0" borderId="1" xfId="0" applyNumberFormat="1" applyFont="1" applyBorder="1"/>
    <xf numFmtId="0" fontId="2" fillId="0" borderId="0" xfId="0" applyFont="1"/>
    <xf numFmtId="164" fontId="2" fillId="0" borderId="1" xfId="0" applyNumberFormat="1" applyFont="1" applyBorder="1"/>
    <xf numFmtId="164" fontId="4" fillId="0" borderId="1" xfId="0" applyNumberFormat="1" applyFont="1" applyBorder="1"/>
    <xf numFmtId="164" fontId="8" fillId="0" borderId="1" xfId="0" applyNumberFormat="1" applyFont="1" applyBorder="1"/>
    <xf numFmtId="164" fontId="3" fillId="2" borderId="1" xfId="0" applyNumberFormat="1" applyFont="1" applyFill="1" applyBorder="1"/>
    <xf numFmtId="0" fontId="4" fillId="0" borderId="0" xfId="0" applyFont="1" applyAlignment="1">
      <alignment vertical="top" wrapText="1"/>
    </xf>
    <xf numFmtId="165" fontId="3" fillId="2" borderId="1" xfId="0" applyNumberFormat="1" applyFont="1" applyFill="1" applyBorder="1"/>
    <xf numFmtId="166" fontId="3" fillId="2" borderId="1" xfId="0" applyNumberFormat="1" applyFont="1" applyFill="1" applyBorder="1"/>
    <xf numFmtId="0" fontId="6" fillId="3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165" fontId="3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167" fontId="4" fillId="0" borderId="1" xfId="0" applyNumberFormat="1" applyFont="1" applyBorder="1" applyAlignment="1">
      <alignment vertical="top" wrapText="1"/>
    </xf>
    <xf numFmtId="0" fontId="9" fillId="4" borderId="1" xfId="0" applyFont="1" applyFill="1" applyBorder="1"/>
    <xf numFmtId="0" fontId="2" fillId="4" borderId="1" xfId="0" applyFont="1" applyFill="1" applyBorder="1"/>
    <xf numFmtId="165" fontId="2" fillId="4" borderId="1" xfId="0" applyNumberFormat="1" applyFont="1" applyFill="1" applyBorder="1"/>
    <xf numFmtId="164" fontId="2" fillId="4" borderId="1" xfId="0" applyNumberFormat="1" applyFont="1" applyFill="1" applyBorder="1"/>
    <xf numFmtId="167" fontId="2" fillId="4" borderId="1" xfId="0" applyNumberFormat="1" applyFont="1" applyFill="1" applyBorder="1"/>
    <xf numFmtId="0" fontId="5" fillId="4" borderId="1" xfId="0" applyFont="1" applyFill="1" applyBorder="1" applyAlignment="1">
      <alignment vertical="top" wrapText="1"/>
    </xf>
    <xf numFmtId="0" fontId="2" fillId="0" borderId="1" xfId="0" applyFont="1" applyBorder="1"/>
    <xf numFmtId="166" fontId="7" fillId="0" borderId="1" xfId="0" applyNumberFormat="1" applyFont="1" applyBorder="1"/>
    <xf numFmtId="166" fontId="2" fillId="4" borderId="1" xfId="0" applyNumberFormat="1" applyFont="1" applyFill="1" applyBorder="1"/>
    <xf numFmtId="0" fontId="9" fillId="0" borderId="0" xfId="0" applyFont="1" applyAlignment="1">
      <alignment vertical="top" wrapText="1"/>
    </xf>
    <xf numFmtId="165" fontId="3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4"/>
  <sheetViews>
    <sheetView tabSelected="1" workbookViewId="0"/>
  </sheetViews>
  <sheetFormatPr defaultRowHeight="15" x14ac:dyDescent="0.25"/>
  <cols>
    <col min="1" max="1" width="62" customWidth="1"/>
    <col min="2" max="2" width="20" customWidth="1"/>
    <col min="3" max="3" width="14" customWidth="1"/>
  </cols>
  <sheetData>
    <row r="1" spans="1:3" ht="18" x14ac:dyDescent="0.25">
      <c r="A1" s="1" t="s">
        <v>0</v>
      </c>
      <c r="B1" s="2"/>
      <c r="C1" s="2"/>
    </row>
    <row r="2" spans="1:3" x14ac:dyDescent="0.25">
      <c r="A2" s="3" t="s">
        <v>1</v>
      </c>
      <c r="B2" s="2"/>
      <c r="C2" s="2"/>
    </row>
    <row r="3" spans="1:3" x14ac:dyDescent="0.25">
      <c r="A3" s="2"/>
      <c r="B3" s="4" t="s">
        <v>2</v>
      </c>
      <c r="C3" s="4" t="s">
        <v>3</v>
      </c>
    </row>
    <row r="4" spans="1:3" x14ac:dyDescent="0.25">
      <c r="A4" s="5" t="s">
        <v>4</v>
      </c>
      <c r="B4" s="6"/>
      <c r="C4" s="6"/>
    </row>
    <row r="5" spans="1:3" x14ac:dyDescent="0.25">
      <c r="A5" s="7" t="s">
        <v>5</v>
      </c>
      <c r="B5" s="8">
        <f>COUNTA(Чадварууд!$C$2:$C$38)</f>
        <v>37</v>
      </c>
      <c r="C5" s="2"/>
    </row>
    <row r="6" spans="1:3" x14ac:dyDescent="0.25">
      <c r="A6" s="7" t="s">
        <v>6</v>
      </c>
      <c r="B6" s="8">
        <f>Чадварууд!$F$39</f>
        <v>2180</v>
      </c>
      <c r="C6" s="2"/>
    </row>
    <row r="7" spans="1:3" x14ac:dyDescent="0.25">
      <c r="A7" s="7" t="s">
        <v>7</v>
      </c>
      <c r="B7" s="9">
        <f>Чадварууд!$G$39</f>
        <v>174400000</v>
      </c>
      <c r="C7" s="10">
        <f>B7/Тохиргоо!$B$5</f>
        <v>50550.72463768116</v>
      </c>
    </row>
    <row r="8" spans="1:3" x14ac:dyDescent="0.25">
      <c r="A8" s="7" t="s">
        <v>8</v>
      </c>
      <c r="B8" s="9">
        <f>B7*Тохиргоо!$B$6</f>
        <v>-26160000</v>
      </c>
      <c r="C8" s="10">
        <f>B8/Тохиргоо!$B$5</f>
        <v>-7582.608695652174</v>
      </c>
    </row>
    <row r="9" spans="1:3" x14ac:dyDescent="0.25">
      <c r="A9" s="11" t="s">
        <v>9</v>
      </c>
      <c r="B9" s="12">
        <f>B7+B8</f>
        <v>148240000</v>
      </c>
      <c r="C9" s="10">
        <f>B9/Тохиргоо!$B$5</f>
        <v>42968.115942028984</v>
      </c>
    </row>
    <row r="10" spans="1:3" x14ac:dyDescent="0.25">
      <c r="A10" s="2"/>
      <c r="B10" s="2"/>
      <c r="C10" s="2"/>
    </row>
    <row r="11" spans="1:3" x14ac:dyDescent="0.25">
      <c r="A11" s="5" t="s">
        <v>10</v>
      </c>
      <c r="B11" s="6"/>
      <c r="C11" s="6"/>
    </row>
    <row r="12" spans="1:3" x14ac:dyDescent="0.25">
      <c r="A12" s="7" t="s">
        <v>11</v>
      </c>
      <c r="B12" s="8">
        <f>Чадварууд!$J$39</f>
        <v>1654</v>
      </c>
      <c r="C12" s="2"/>
    </row>
    <row r="13" spans="1:3" x14ac:dyDescent="0.25">
      <c r="A13" s="7" t="s">
        <v>12</v>
      </c>
      <c r="B13" s="9">
        <f>Чадварууд!$K$39</f>
        <v>33080000</v>
      </c>
      <c r="C13" s="10">
        <f>B13/Тохиргоо!$B$5</f>
        <v>9588.4057971014499</v>
      </c>
    </row>
    <row r="14" spans="1:3" x14ac:dyDescent="0.25">
      <c r="A14" s="7" t="s">
        <v>13</v>
      </c>
      <c r="B14" s="9">
        <f>-B13*Тохиргоо!$B$8</f>
        <v>-6616000</v>
      </c>
      <c r="C14" s="10">
        <f>B14/Тохиргоо!$B$5</f>
        <v>-1917.6811594202898</v>
      </c>
    </row>
    <row r="15" spans="1:3" x14ac:dyDescent="0.25">
      <c r="A15" s="7" t="s">
        <v>14</v>
      </c>
      <c r="B15" s="13">
        <f>B13+B14</f>
        <v>26464000</v>
      </c>
      <c r="C15" s="10">
        <f>B15/Тохиргоо!$B$5</f>
        <v>7670.724637681159</v>
      </c>
    </row>
    <row r="16" spans="1:3" x14ac:dyDescent="0.25">
      <c r="A16" s="11" t="s">
        <v>15</v>
      </c>
      <c r="B16" s="14">
        <f>B15*Тохиргоо!$B$7</f>
        <v>79392000</v>
      </c>
      <c r="C16" s="10">
        <f>B16/Тохиргоо!$B$5</f>
        <v>23012.17391304348</v>
      </c>
    </row>
    <row r="17" spans="1:3" x14ac:dyDescent="0.25">
      <c r="A17" s="2"/>
      <c r="B17" s="2"/>
      <c r="C17" s="2"/>
    </row>
    <row r="18" spans="1:3" x14ac:dyDescent="0.25">
      <c r="A18" s="5" t="s">
        <v>16</v>
      </c>
      <c r="B18" s="6"/>
      <c r="C18" s="6"/>
    </row>
    <row r="19" spans="1:3" x14ac:dyDescent="0.25">
      <c r="A19" s="11" t="s">
        <v>17</v>
      </c>
      <c r="B19" s="12">
        <f>MIN(B9,B16)</f>
        <v>79392000</v>
      </c>
      <c r="C19" s="10">
        <f>B19/Тохиргоо!$B$5</f>
        <v>23012.17391304348</v>
      </c>
    </row>
    <row r="20" spans="1:3" x14ac:dyDescent="0.25">
      <c r="A20" s="11" t="s">
        <v>18</v>
      </c>
      <c r="B20" s="12">
        <f>MAX(B9,B16)</f>
        <v>148240000</v>
      </c>
      <c r="C20" s="10">
        <f>B20/Тохиргоо!$B$5</f>
        <v>42968.115942028984</v>
      </c>
    </row>
    <row r="21" spans="1:3" x14ac:dyDescent="0.25">
      <c r="A21" s="11" t="s">
        <v>19</v>
      </c>
      <c r="B21" s="12">
        <f>AVERAGE(B19:B20)</f>
        <v>113816000</v>
      </c>
      <c r="C21" s="10">
        <f>B21/Тохиргоо!$B$5</f>
        <v>32990.144927536232</v>
      </c>
    </row>
    <row r="22" spans="1:3" x14ac:dyDescent="0.25">
      <c r="A22" s="2"/>
      <c r="B22" s="2"/>
      <c r="C22" s="2"/>
    </row>
    <row r="23" spans="1:3" x14ac:dyDescent="0.25">
      <c r="A23" s="11" t="s">
        <v>20</v>
      </c>
      <c r="B23" s="2"/>
      <c r="C23" s="2"/>
    </row>
    <row r="24" spans="1:3" x14ac:dyDescent="0.25">
      <c r="A24" s="7" t="s">
        <v>21</v>
      </c>
      <c r="B24" s="2"/>
      <c r="C24" s="2"/>
    </row>
    <row r="25" spans="1:3" x14ac:dyDescent="0.25">
      <c r="A25" s="7" t="s">
        <v>22</v>
      </c>
      <c r="B25" s="2"/>
      <c r="C25" s="2"/>
    </row>
    <row r="26" spans="1:3" x14ac:dyDescent="0.25">
      <c r="A26" s="7" t="s">
        <v>23</v>
      </c>
      <c r="B26" s="2"/>
      <c r="C26" s="2"/>
    </row>
    <row r="27" spans="1:3" x14ac:dyDescent="0.25">
      <c r="A27" s="7" t="s">
        <v>24</v>
      </c>
      <c r="B27" s="2"/>
      <c r="C27" s="2"/>
    </row>
    <row r="28" spans="1:3" x14ac:dyDescent="0.25">
      <c r="A28" s="11" t="s">
        <v>25</v>
      </c>
      <c r="B28" s="2"/>
      <c r="C28" s="2"/>
    </row>
    <row r="29" spans="1:3" x14ac:dyDescent="0.25">
      <c r="A29" s="7" t="s">
        <v>26</v>
      </c>
      <c r="B29" s="2"/>
      <c r="C29" s="2"/>
    </row>
    <row r="30" spans="1:3" x14ac:dyDescent="0.25">
      <c r="A30" s="7" t="s">
        <v>27</v>
      </c>
      <c r="B30" s="2"/>
      <c r="C30" s="2"/>
    </row>
    <row r="31" spans="1:3" x14ac:dyDescent="0.25">
      <c r="A31" s="7" t="s">
        <v>28</v>
      </c>
      <c r="B31" s="2"/>
      <c r="C31" s="2"/>
    </row>
    <row r="32" spans="1:3" x14ac:dyDescent="0.25">
      <c r="A32" s="7" t="s">
        <v>29</v>
      </c>
      <c r="B32" s="2"/>
      <c r="C32" s="2"/>
    </row>
    <row r="33" spans="1:3" x14ac:dyDescent="0.25">
      <c r="A33" s="7" t="s">
        <v>30</v>
      </c>
      <c r="B33" s="2"/>
      <c r="C33" s="2"/>
    </row>
    <row r="34" spans="1:3" x14ac:dyDescent="0.25">
      <c r="A34" s="11" t="s">
        <v>31</v>
      </c>
      <c r="B34" s="2"/>
      <c r="C34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5" x14ac:dyDescent="0.25"/>
  <cols>
    <col min="1" max="1" width="38" customWidth="1"/>
    <col min="2" max="2" width="16" customWidth="1"/>
    <col min="3" max="3" width="95" customWidth="1"/>
  </cols>
  <sheetData>
    <row r="1" spans="1:3" ht="18" x14ac:dyDescent="0.25">
      <c r="A1" s="1" t="s">
        <v>32</v>
      </c>
      <c r="B1" s="2"/>
      <c r="C1" s="2"/>
    </row>
    <row r="2" spans="1:3" x14ac:dyDescent="0.25">
      <c r="A2" s="2"/>
      <c r="B2" s="2"/>
      <c r="C2" s="2"/>
    </row>
    <row r="3" spans="1:3" ht="32.1" customHeight="1" x14ac:dyDescent="0.25">
      <c r="A3" s="11" t="s">
        <v>33</v>
      </c>
      <c r="B3" s="15">
        <v>80000</v>
      </c>
      <c r="C3" s="16" t="s">
        <v>34</v>
      </c>
    </row>
    <row r="4" spans="1:3" ht="32.1" customHeight="1" x14ac:dyDescent="0.25">
      <c r="A4" s="11" t="s">
        <v>35</v>
      </c>
      <c r="B4" s="15">
        <v>20000</v>
      </c>
      <c r="C4" s="16" t="s">
        <v>36</v>
      </c>
    </row>
    <row r="5" spans="1:3" ht="32.1" customHeight="1" x14ac:dyDescent="0.25">
      <c r="A5" s="11" t="s">
        <v>37</v>
      </c>
      <c r="B5" s="17">
        <v>3450</v>
      </c>
      <c r="C5" s="16" t="s">
        <v>38</v>
      </c>
    </row>
    <row r="6" spans="1:3" ht="32.1" customHeight="1" x14ac:dyDescent="0.25">
      <c r="A6" s="11" t="s">
        <v>8</v>
      </c>
      <c r="B6" s="18">
        <v>-0.15</v>
      </c>
      <c r="C6" s="16" t="s">
        <v>39</v>
      </c>
    </row>
    <row r="7" spans="1:3" ht="32.1" customHeight="1" x14ac:dyDescent="0.25">
      <c r="A7" s="11" t="s">
        <v>40</v>
      </c>
      <c r="B7" s="17">
        <v>3</v>
      </c>
      <c r="C7" s="16" t="s">
        <v>41</v>
      </c>
    </row>
    <row r="8" spans="1:3" ht="32.1" customHeight="1" x14ac:dyDescent="0.25">
      <c r="A8" s="11" t="s">
        <v>42</v>
      </c>
      <c r="B8" s="18">
        <v>0.2</v>
      </c>
      <c r="C8" s="16" t="s">
        <v>43</v>
      </c>
    </row>
    <row r="9" spans="1:3" x14ac:dyDescent="0.25">
      <c r="A9" s="2"/>
      <c r="B9" s="2"/>
      <c r="C9" s="2"/>
    </row>
    <row r="10" spans="1:3" x14ac:dyDescent="0.25">
      <c r="A10" s="3" t="s">
        <v>44</v>
      </c>
      <c r="B10" s="2"/>
      <c r="C10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15" customWidth="1"/>
    <col min="3" max="3" width="30" customWidth="1"/>
    <col min="4" max="4" width="55" customWidth="1"/>
    <col min="5" max="5" width="12" customWidth="1"/>
    <col min="6" max="6" width="13" customWidth="1"/>
    <col min="7" max="7" width="16" customWidth="1"/>
    <col min="8" max="10" width="13" customWidth="1"/>
    <col min="11" max="11" width="16" customWidth="1"/>
    <col min="12" max="12" width="70" customWidth="1"/>
  </cols>
  <sheetData>
    <row r="1" spans="1:12" ht="45" customHeight="1" x14ac:dyDescent="0.25">
      <c r="A1" s="19" t="s">
        <v>45</v>
      </c>
      <c r="B1" s="19" t="s">
        <v>46</v>
      </c>
      <c r="C1" s="19" t="s">
        <v>47</v>
      </c>
      <c r="D1" s="19" t="s">
        <v>48</v>
      </c>
      <c r="E1" s="19" t="s">
        <v>49</v>
      </c>
      <c r="F1" s="19" t="s">
        <v>50</v>
      </c>
      <c r="G1" s="19" t="s">
        <v>51</v>
      </c>
      <c r="H1" s="19" t="s">
        <v>52</v>
      </c>
      <c r="I1" s="19" t="s">
        <v>53</v>
      </c>
      <c r="J1" s="19" t="s">
        <v>54</v>
      </c>
      <c r="K1" s="19" t="s">
        <v>12</v>
      </c>
      <c r="L1" s="19" t="s">
        <v>55</v>
      </c>
    </row>
    <row r="2" spans="1:12" ht="57" x14ac:dyDescent="0.25">
      <c r="A2" s="20">
        <v>1</v>
      </c>
      <c r="B2" s="21" t="s">
        <v>56</v>
      </c>
      <c r="C2" s="22" t="s">
        <v>57</v>
      </c>
      <c r="D2" s="21" t="s">
        <v>58</v>
      </c>
      <c r="E2" s="23">
        <v>4</v>
      </c>
      <c r="F2" s="24">
        <v>120</v>
      </c>
      <c r="G2" s="25">
        <f>F2*Тохиргоо!$B$3</f>
        <v>9600000</v>
      </c>
      <c r="H2" s="26">
        <f>G2/Тохиргоо!$B$5</f>
        <v>2782.608695652174</v>
      </c>
      <c r="I2" s="20" t="s">
        <v>59</v>
      </c>
      <c r="J2" s="24">
        <v>0</v>
      </c>
      <c r="K2" s="25">
        <f>J2*Тохиргоо!$B$4</f>
        <v>0</v>
      </c>
      <c r="L2" s="21" t="s">
        <v>60</v>
      </c>
    </row>
    <row r="3" spans="1:12" ht="42.75" x14ac:dyDescent="0.25">
      <c r="A3" s="20">
        <v>2</v>
      </c>
      <c r="B3" s="21" t="s">
        <v>56</v>
      </c>
      <c r="C3" s="22" t="s">
        <v>61</v>
      </c>
      <c r="D3" s="21" t="s">
        <v>62</v>
      </c>
      <c r="E3" s="23">
        <v>3</v>
      </c>
      <c r="F3" s="24">
        <v>40</v>
      </c>
      <c r="G3" s="25">
        <f>F3*Тохиргоо!$B$3</f>
        <v>3200000</v>
      </c>
      <c r="H3" s="26">
        <f>G3/Тохиргоо!$B$5</f>
        <v>927.536231884058</v>
      </c>
      <c r="I3" s="20" t="s">
        <v>63</v>
      </c>
      <c r="J3" s="24">
        <v>0</v>
      </c>
      <c r="K3" s="25">
        <f>J3*Тохиргоо!$B$4</f>
        <v>0</v>
      </c>
      <c r="L3" s="21" t="s">
        <v>64</v>
      </c>
    </row>
    <row r="4" spans="1:12" ht="28.5" x14ac:dyDescent="0.25">
      <c r="A4" s="20">
        <v>3</v>
      </c>
      <c r="B4" s="21" t="s">
        <v>56</v>
      </c>
      <c r="C4" s="22" t="s">
        <v>65</v>
      </c>
      <c r="D4" s="21" t="s">
        <v>66</v>
      </c>
      <c r="E4" s="23">
        <v>2</v>
      </c>
      <c r="F4" s="24">
        <v>24</v>
      </c>
      <c r="G4" s="25">
        <f>F4*Тохиргоо!$B$3</f>
        <v>1920000</v>
      </c>
      <c r="H4" s="26">
        <f>G4/Тохиргоо!$B$5</f>
        <v>556.52173913043475</v>
      </c>
      <c r="I4" s="20" t="s">
        <v>67</v>
      </c>
      <c r="J4" s="24">
        <v>12</v>
      </c>
      <c r="K4" s="25">
        <f>J4*Тохиргоо!$B$4</f>
        <v>240000</v>
      </c>
      <c r="L4" s="21" t="s">
        <v>68</v>
      </c>
    </row>
    <row r="5" spans="1:12" ht="42.75" x14ac:dyDescent="0.25">
      <c r="A5" s="20">
        <v>4</v>
      </c>
      <c r="B5" s="21" t="s">
        <v>56</v>
      </c>
      <c r="C5" s="22" t="s">
        <v>69</v>
      </c>
      <c r="D5" s="21" t="s">
        <v>70</v>
      </c>
      <c r="E5" s="23">
        <v>4</v>
      </c>
      <c r="F5" s="24">
        <v>80</v>
      </c>
      <c r="G5" s="25">
        <f>F5*Тохиргоо!$B$3</f>
        <v>6400000</v>
      </c>
      <c r="H5" s="26">
        <f>G5/Тохиргоо!$B$5</f>
        <v>1855.072463768116</v>
      </c>
      <c r="I5" s="20" t="s">
        <v>59</v>
      </c>
      <c r="J5" s="24">
        <v>0</v>
      </c>
      <c r="K5" s="25">
        <f>J5*Тохиргоо!$B$4</f>
        <v>0</v>
      </c>
      <c r="L5" s="21" t="s">
        <v>71</v>
      </c>
    </row>
    <row r="6" spans="1:12" ht="42.75" x14ac:dyDescent="0.25">
      <c r="A6" s="20">
        <v>5</v>
      </c>
      <c r="B6" s="21" t="s">
        <v>56</v>
      </c>
      <c r="C6" s="22" t="s">
        <v>72</v>
      </c>
      <c r="D6" s="21" t="s">
        <v>73</v>
      </c>
      <c r="E6" s="23">
        <v>2</v>
      </c>
      <c r="F6" s="24">
        <v>32</v>
      </c>
      <c r="G6" s="25">
        <f>F6*Тохиргоо!$B$3</f>
        <v>2560000</v>
      </c>
      <c r="H6" s="26">
        <f>G6/Тохиргоо!$B$5</f>
        <v>742.02898550724638</v>
      </c>
      <c r="I6" s="20" t="s">
        <v>63</v>
      </c>
      <c r="J6" s="24">
        <v>0</v>
      </c>
      <c r="K6" s="25">
        <f>J6*Тохиргоо!$B$4</f>
        <v>0</v>
      </c>
      <c r="L6" s="21" t="s">
        <v>74</v>
      </c>
    </row>
    <row r="7" spans="1:12" ht="42.75" x14ac:dyDescent="0.25">
      <c r="A7" s="20">
        <v>6</v>
      </c>
      <c r="B7" s="21" t="s">
        <v>56</v>
      </c>
      <c r="C7" s="22" t="s">
        <v>75</v>
      </c>
      <c r="D7" s="21" t="s">
        <v>76</v>
      </c>
      <c r="E7" s="23">
        <v>3</v>
      </c>
      <c r="F7" s="24">
        <v>40</v>
      </c>
      <c r="G7" s="25">
        <f>F7*Тохиргоо!$B$3</f>
        <v>3200000</v>
      </c>
      <c r="H7" s="26">
        <f>G7/Тохиргоо!$B$5</f>
        <v>927.536231884058</v>
      </c>
      <c r="I7" s="20" t="s">
        <v>63</v>
      </c>
      <c r="J7" s="24">
        <v>0</v>
      </c>
      <c r="K7" s="25">
        <f>J7*Тохиргоо!$B$4</f>
        <v>0</v>
      </c>
      <c r="L7" s="21" t="s">
        <v>77</v>
      </c>
    </row>
    <row r="8" spans="1:12" ht="28.5" x14ac:dyDescent="0.25">
      <c r="A8" s="20">
        <v>7</v>
      </c>
      <c r="B8" s="21" t="s">
        <v>78</v>
      </c>
      <c r="C8" s="22" t="s">
        <v>79</v>
      </c>
      <c r="D8" s="21" t="s">
        <v>80</v>
      </c>
      <c r="E8" s="23">
        <v>3</v>
      </c>
      <c r="F8" s="24">
        <v>60</v>
      </c>
      <c r="G8" s="25">
        <f>F8*Тохиргоо!$B$3</f>
        <v>4800000</v>
      </c>
      <c r="H8" s="26">
        <f>G8/Тохиргоо!$B$5</f>
        <v>1391.304347826087</v>
      </c>
      <c r="I8" s="20" t="s">
        <v>63</v>
      </c>
      <c r="J8" s="24">
        <v>0</v>
      </c>
      <c r="K8" s="25">
        <f>J8*Тохиргоо!$B$4</f>
        <v>0</v>
      </c>
      <c r="L8" s="21" t="s">
        <v>81</v>
      </c>
    </row>
    <row r="9" spans="1:12" ht="30" x14ac:dyDescent="0.25">
      <c r="A9" s="20">
        <v>8</v>
      </c>
      <c r="B9" s="21" t="s">
        <v>78</v>
      </c>
      <c r="C9" s="22" t="s">
        <v>82</v>
      </c>
      <c r="D9" s="21" t="s">
        <v>83</v>
      </c>
      <c r="E9" s="23">
        <v>3</v>
      </c>
      <c r="F9" s="24">
        <v>40</v>
      </c>
      <c r="G9" s="25">
        <f>F9*Тохиргоо!$B$3</f>
        <v>3200000</v>
      </c>
      <c r="H9" s="26">
        <f>G9/Тохиргоо!$B$5</f>
        <v>927.536231884058</v>
      </c>
      <c r="I9" s="20" t="s">
        <v>63</v>
      </c>
      <c r="J9" s="24">
        <v>40</v>
      </c>
      <c r="K9" s="25">
        <f>J9*Тохиргоо!$B$4</f>
        <v>800000</v>
      </c>
      <c r="L9" s="21" t="s">
        <v>84</v>
      </c>
    </row>
    <row r="10" spans="1:12" ht="28.5" x14ac:dyDescent="0.25">
      <c r="A10" s="20">
        <v>9</v>
      </c>
      <c r="B10" s="21" t="s">
        <v>85</v>
      </c>
      <c r="C10" s="22" t="s">
        <v>86</v>
      </c>
      <c r="D10" s="21" t="s">
        <v>87</v>
      </c>
      <c r="E10" s="23">
        <v>2</v>
      </c>
      <c r="F10" s="24">
        <v>32</v>
      </c>
      <c r="G10" s="25">
        <f>F10*Тохиргоо!$B$3</f>
        <v>2560000</v>
      </c>
      <c r="H10" s="26">
        <f>G10/Тохиргоо!$B$5</f>
        <v>742.02898550724638</v>
      </c>
      <c r="I10" s="20" t="s">
        <v>63</v>
      </c>
      <c r="J10" s="24">
        <v>24</v>
      </c>
      <c r="K10" s="25">
        <f>J10*Тохиргоо!$B$4</f>
        <v>480000</v>
      </c>
      <c r="L10" s="21" t="s">
        <v>88</v>
      </c>
    </row>
    <row r="11" spans="1:12" ht="42.75" x14ac:dyDescent="0.25">
      <c r="A11" s="20">
        <v>10</v>
      </c>
      <c r="B11" s="21" t="s">
        <v>89</v>
      </c>
      <c r="C11" s="22" t="s">
        <v>90</v>
      </c>
      <c r="D11" s="21" t="s">
        <v>91</v>
      </c>
      <c r="E11" s="23">
        <v>3</v>
      </c>
      <c r="F11" s="24">
        <v>60</v>
      </c>
      <c r="G11" s="25">
        <f>F11*Тохиргоо!$B$3</f>
        <v>4800000</v>
      </c>
      <c r="H11" s="26">
        <f>G11/Тохиргоо!$B$5</f>
        <v>1391.304347826087</v>
      </c>
      <c r="I11" s="20" t="s">
        <v>59</v>
      </c>
      <c r="J11" s="24">
        <v>100</v>
      </c>
      <c r="K11" s="25">
        <f>J11*Тохиргоо!$B$4</f>
        <v>2000000</v>
      </c>
      <c r="L11" s="21" t="s">
        <v>92</v>
      </c>
    </row>
    <row r="12" spans="1:12" ht="28.5" x14ac:dyDescent="0.25">
      <c r="A12" s="20">
        <v>11</v>
      </c>
      <c r="B12" s="21" t="s">
        <v>93</v>
      </c>
      <c r="C12" s="22" t="s">
        <v>94</v>
      </c>
      <c r="D12" s="21" t="s">
        <v>95</v>
      </c>
      <c r="E12" s="23">
        <v>3</v>
      </c>
      <c r="F12" s="24">
        <v>48</v>
      </c>
      <c r="G12" s="25">
        <f>F12*Тохиргоо!$B$3</f>
        <v>3840000</v>
      </c>
      <c r="H12" s="26">
        <f>G12/Тохиргоо!$B$5</f>
        <v>1113.0434782608695</v>
      </c>
      <c r="I12" s="20" t="s">
        <v>59</v>
      </c>
      <c r="J12" s="24">
        <v>50</v>
      </c>
      <c r="K12" s="25">
        <f>J12*Тохиргоо!$B$4</f>
        <v>1000000</v>
      </c>
      <c r="L12" s="21" t="s">
        <v>96</v>
      </c>
    </row>
    <row r="13" spans="1:12" ht="28.5" x14ac:dyDescent="0.25">
      <c r="A13" s="20">
        <v>12</v>
      </c>
      <c r="B13" s="21" t="s">
        <v>93</v>
      </c>
      <c r="C13" s="22" t="s">
        <v>97</v>
      </c>
      <c r="D13" s="21" t="s">
        <v>98</v>
      </c>
      <c r="E13" s="23">
        <v>2</v>
      </c>
      <c r="F13" s="24">
        <v>32</v>
      </c>
      <c r="G13" s="25">
        <f>F13*Тохиргоо!$B$3</f>
        <v>2560000</v>
      </c>
      <c r="H13" s="26">
        <f>G13/Тохиргоо!$B$5</f>
        <v>742.02898550724638</v>
      </c>
      <c r="I13" s="20" t="s">
        <v>63</v>
      </c>
      <c r="J13" s="24">
        <v>30</v>
      </c>
      <c r="K13" s="25">
        <f>J13*Тохиргоо!$B$4</f>
        <v>600000</v>
      </c>
      <c r="L13" s="21" t="s">
        <v>99</v>
      </c>
    </row>
    <row r="14" spans="1:12" ht="28.5" x14ac:dyDescent="0.25">
      <c r="A14" s="20">
        <v>13</v>
      </c>
      <c r="B14" s="21" t="s">
        <v>93</v>
      </c>
      <c r="C14" s="22" t="s">
        <v>100</v>
      </c>
      <c r="D14" s="21" t="s">
        <v>101</v>
      </c>
      <c r="E14" s="23">
        <v>4</v>
      </c>
      <c r="F14" s="24">
        <v>56</v>
      </c>
      <c r="G14" s="25">
        <f>F14*Тохиргоо!$B$3</f>
        <v>4480000</v>
      </c>
      <c r="H14" s="26">
        <f>G14/Тохиргоо!$B$5</f>
        <v>1298.5507246376812</v>
      </c>
      <c r="I14" s="20" t="s">
        <v>59</v>
      </c>
      <c r="J14" s="24">
        <v>40</v>
      </c>
      <c r="K14" s="25">
        <f>J14*Тохиргоо!$B$4</f>
        <v>800000</v>
      </c>
      <c r="L14" s="21" t="s">
        <v>102</v>
      </c>
    </row>
    <row r="15" spans="1:12" ht="28.5" x14ac:dyDescent="0.25">
      <c r="A15" s="20">
        <v>14</v>
      </c>
      <c r="B15" s="21" t="s">
        <v>103</v>
      </c>
      <c r="C15" s="22" t="s">
        <v>104</v>
      </c>
      <c r="D15" s="21" t="s">
        <v>105</v>
      </c>
      <c r="E15" s="23">
        <v>4</v>
      </c>
      <c r="F15" s="24">
        <v>80</v>
      </c>
      <c r="G15" s="25">
        <f>F15*Тохиргоо!$B$3</f>
        <v>6400000</v>
      </c>
      <c r="H15" s="26">
        <f>G15/Тохиргоо!$B$5</f>
        <v>1855.072463768116</v>
      </c>
      <c r="I15" s="20" t="s">
        <v>59</v>
      </c>
      <c r="J15" s="24">
        <v>120</v>
      </c>
      <c r="K15" s="25">
        <f>J15*Тохиргоо!$B$4</f>
        <v>2400000</v>
      </c>
      <c r="L15" s="21" t="s">
        <v>106</v>
      </c>
    </row>
    <row r="16" spans="1:12" ht="42.75" x14ac:dyDescent="0.25">
      <c r="A16" s="20">
        <v>15</v>
      </c>
      <c r="B16" s="21" t="s">
        <v>103</v>
      </c>
      <c r="C16" s="22" t="s">
        <v>107</v>
      </c>
      <c r="D16" s="21" t="s">
        <v>108</v>
      </c>
      <c r="E16" s="23">
        <v>4</v>
      </c>
      <c r="F16" s="24">
        <v>80</v>
      </c>
      <c r="G16" s="25">
        <f>F16*Тохиргоо!$B$3</f>
        <v>6400000</v>
      </c>
      <c r="H16" s="26">
        <f>G16/Тохиргоо!$B$5</f>
        <v>1855.072463768116</v>
      </c>
      <c r="I16" s="20" t="s">
        <v>59</v>
      </c>
      <c r="J16" s="24">
        <v>80</v>
      </c>
      <c r="K16" s="25">
        <f>J16*Тохиргоо!$B$4</f>
        <v>1600000</v>
      </c>
      <c r="L16" s="21" t="s">
        <v>109</v>
      </c>
    </row>
    <row r="17" spans="1:12" ht="28.5" x14ac:dyDescent="0.25">
      <c r="A17" s="20">
        <v>16</v>
      </c>
      <c r="B17" s="21" t="s">
        <v>103</v>
      </c>
      <c r="C17" s="22" t="s">
        <v>110</v>
      </c>
      <c r="D17" s="21" t="s">
        <v>111</v>
      </c>
      <c r="E17" s="23">
        <v>4</v>
      </c>
      <c r="F17" s="24">
        <v>72</v>
      </c>
      <c r="G17" s="25">
        <f>F17*Тохиргоо!$B$3</f>
        <v>5760000</v>
      </c>
      <c r="H17" s="26">
        <f>G17/Тохиргоо!$B$5</f>
        <v>1669.5652173913043</v>
      </c>
      <c r="I17" s="20" t="s">
        <v>59</v>
      </c>
      <c r="J17" s="24">
        <v>40</v>
      </c>
      <c r="K17" s="25">
        <f>J17*Тохиргоо!$B$4</f>
        <v>800000</v>
      </c>
      <c r="L17" s="21" t="s">
        <v>112</v>
      </c>
    </row>
    <row r="18" spans="1:12" ht="42.75" x14ac:dyDescent="0.25">
      <c r="A18" s="20">
        <v>17</v>
      </c>
      <c r="B18" s="21" t="s">
        <v>103</v>
      </c>
      <c r="C18" s="22" t="s">
        <v>113</v>
      </c>
      <c r="D18" s="21" t="s">
        <v>114</v>
      </c>
      <c r="E18" s="23">
        <v>4</v>
      </c>
      <c r="F18" s="24">
        <v>56</v>
      </c>
      <c r="G18" s="25">
        <f>F18*Тохиргоо!$B$3</f>
        <v>4480000</v>
      </c>
      <c r="H18" s="26">
        <f>G18/Тохиргоо!$B$5</f>
        <v>1298.5507246376812</v>
      </c>
      <c r="I18" s="20" t="s">
        <v>63</v>
      </c>
      <c r="J18" s="24">
        <v>30</v>
      </c>
      <c r="K18" s="25">
        <f>J18*Тохиргоо!$B$4</f>
        <v>600000</v>
      </c>
      <c r="L18" s="21" t="s">
        <v>115</v>
      </c>
    </row>
    <row r="19" spans="1:12" ht="42.75" x14ac:dyDescent="0.25">
      <c r="A19" s="20">
        <v>18</v>
      </c>
      <c r="B19" s="21" t="s">
        <v>103</v>
      </c>
      <c r="C19" s="22" t="s">
        <v>116</v>
      </c>
      <c r="D19" s="21" t="s">
        <v>117</v>
      </c>
      <c r="E19" s="23">
        <v>3</v>
      </c>
      <c r="F19" s="24">
        <v>24</v>
      </c>
      <c r="G19" s="25">
        <f>F19*Тохиргоо!$B$3</f>
        <v>1920000</v>
      </c>
      <c r="H19" s="26">
        <f>G19/Тохиргоо!$B$5</f>
        <v>556.52173913043475</v>
      </c>
      <c r="I19" s="20" t="s">
        <v>63</v>
      </c>
      <c r="J19" s="24">
        <v>0</v>
      </c>
      <c r="K19" s="25">
        <f>J19*Тохиргоо!$B$4</f>
        <v>0</v>
      </c>
      <c r="L19" s="21" t="s">
        <v>118</v>
      </c>
    </row>
    <row r="20" spans="1:12" ht="28.5" x14ac:dyDescent="0.25">
      <c r="A20" s="20">
        <v>19</v>
      </c>
      <c r="B20" s="21" t="s">
        <v>119</v>
      </c>
      <c r="C20" s="22" t="s">
        <v>120</v>
      </c>
      <c r="D20" s="21" t="s">
        <v>121</v>
      </c>
      <c r="E20" s="23">
        <v>2</v>
      </c>
      <c r="F20" s="24">
        <v>32</v>
      </c>
      <c r="G20" s="25">
        <f>F20*Тохиргоо!$B$3</f>
        <v>2560000</v>
      </c>
      <c r="H20" s="26">
        <f>G20/Тохиргоо!$B$5</f>
        <v>742.02898550724638</v>
      </c>
      <c r="I20" s="20" t="s">
        <v>63</v>
      </c>
      <c r="J20" s="24">
        <v>40</v>
      </c>
      <c r="K20" s="25">
        <f>J20*Тохиргоо!$B$4</f>
        <v>800000</v>
      </c>
      <c r="L20" s="21" t="s">
        <v>122</v>
      </c>
    </row>
    <row r="21" spans="1:12" ht="42.75" x14ac:dyDescent="0.25">
      <c r="A21" s="20">
        <v>20</v>
      </c>
      <c r="B21" s="21" t="s">
        <v>123</v>
      </c>
      <c r="C21" s="22" t="s">
        <v>124</v>
      </c>
      <c r="D21" s="21" t="s">
        <v>125</v>
      </c>
      <c r="E21" s="23">
        <v>4</v>
      </c>
      <c r="F21" s="24">
        <v>64</v>
      </c>
      <c r="G21" s="25">
        <f>F21*Тохиргоо!$B$3</f>
        <v>5120000</v>
      </c>
      <c r="H21" s="26">
        <f>G21/Тохиргоо!$B$5</f>
        <v>1484.0579710144928</v>
      </c>
      <c r="I21" s="20" t="s">
        <v>59</v>
      </c>
      <c r="J21" s="24">
        <v>60</v>
      </c>
      <c r="K21" s="25">
        <f>J21*Тохиргоо!$B$4</f>
        <v>1200000</v>
      </c>
      <c r="L21" s="21" t="s">
        <v>126</v>
      </c>
    </row>
    <row r="22" spans="1:12" ht="28.5" x14ac:dyDescent="0.25">
      <c r="A22" s="20">
        <v>21</v>
      </c>
      <c r="B22" s="21" t="s">
        <v>123</v>
      </c>
      <c r="C22" s="22" t="s">
        <v>127</v>
      </c>
      <c r="D22" s="21" t="s">
        <v>128</v>
      </c>
      <c r="E22" s="23">
        <v>3</v>
      </c>
      <c r="F22" s="24">
        <v>48</v>
      </c>
      <c r="G22" s="25">
        <f>F22*Тохиргоо!$B$3</f>
        <v>3840000</v>
      </c>
      <c r="H22" s="26">
        <f>G22/Тохиргоо!$B$5</f>
        <v>1113.0434782608695</v>
      </c>
      <c r="I22" s="20" t="s">
        <v>63</v>
      </c>
      <c r="J22" s="24">
        <v>48</v>
      </c>
      <c r="K22" s="25">
        <f>J22*Тохиргоо!$B$4</f>
        <v>960000</v>
      </c>
      <c r="L22" s="21" t="s">
        <v>129</v>
      </c>
    </row>
    <row r="23" spans="1:12" ht="28.5" x14ac:dyDescent="0.25">
      <c r="A23" s="20">
        <v>22</v>
      </c>
      <c r="B23" s="21" t="s">
        <v>123</v>
      </c>
      <c r="C23" s="22" t="s">
        <v>130</v>
      </c>
      <c r="D23" s="21" t="s">
        <v>131</v>
      </c>
      <c r="E23" s="23">
        <v>3</v>
      </c>
      <c r="F23" s="24">
        <v>40</v>
      </c>
      <c r="G23" s="25">
        <f>F23*Тохиргоо!$B$3</f>
        <v>3200000</v>
      </c>
      <c r="H23" s="26">
        <f>G23/Тохиргоо!$B$5</f>
        <v>927.536231884058</v>
      </c>
      <c r="I23" s="20" t="s">
        <v>63</v>
      </c>
      <c r="J23" s="24">
        <v>24</v>
      </c>
      <c r="K23" s="25">
        <f>J23*Тохиргоо!$B$4</f>
        <v>480000</v>
      </c>
      <c r="L23" s="21" t="s">
        <v>132</v>
      </c>
    </row>
    <row r="24" spans="1:12" ht="28.5" x14ac:dyDescent="0.25">
      <c r="A24" s="20">
        <v>23</v>
      </c>
      <c r="B24" s="21" t="s">
        <v>123</v>
      </c>
      <c r="C24" s="22" t="s">
        <v>133</v>
      </c>
      <c r="D24" s="21" t="s">
        <v>134</v>
      </c>
      <c r="E24" s="23">
        <v>4</v>
      </c>
      <c r="F24" s="24">
        <v>64</v>
      </c>
      <c r="G24" s="25">
        <f>F24*Тохиргоо!$B$3</f>
        <v>5120000</v>
      </c>
      <c r="H24" s="26">
        <f>G24/Тохиргоо!$B$5</f>
        <v>1484.0579710144928</v>
      </c>
      <c r="I24" s="20" t="s">
        <v>59</v>
      </c>
      <c r="J24" s="24">
        <v>36</v>
      </c>
      <c r="K24" s="25">
        <f>J24*Тохиргоо!$B$4</f>
        <v>720000</v>
      </c>
      <c r="L24" s="21" t="s">
        <v>135</v>
      </c>
    </row>
    <row r="25" spans="1:12" ht="30" x14ac:dyDescent="0.25">
      <c r="A25" s="20">
        <v>24</v>
      </c>
      <c r="B25" s="21" t="s">
        <v>123</v>
      </c>
      <c r="C25" s="22" t="s">
        <v>136</v>
      </c>
      <c r="D25" s="21" t="s">
        <v>137</v>
      </c>
      <c r="E25" s="23">
        <v>3</v>
      </c>
      <c r="F25" s="24">
        <v>40</v>
      </c>
      <c r="G25" s="25">
        <f>F25*Тохиргоо!$B$3</f>
        <v>3200000</v>
      </c>
      <c r="H25" s="26">
        <f>G25/Тохиргоо!$B$5</f>
        <v>927.536231884058</v>
      </c>
      <c r="I25" s="20" t="s">
        <v>63</v>
      </c>
      <c r="J25" s="24">
        <v>24</v>
      </c>
      <c r="K25" s="25">
        <f>J25*Тохиргоо!$B$4</f>
        <v>480000</v>
      </c>
      <c r="L25" s="21" t="s">
        <v>138</v>
      </c>
    </row>
    <row r="26" spans="1:12" ht="30" x14ac:dyDescent="0.25">
      <c r="A26" s="20">
        <v>25</v>
      </c>
      <c r="B26" s="21" t="s">
        <v>139</v>
      </c>
      <c r="C26" s="22" t="s">
        <v>140</v>
      </c>
      <c r="D26" s="21" t="s">
        <v>141</v>
      </c>
      <c r="E26" s="23">
        <v>3</v>
      </c>
      <c r="F26" s="24">
        <v>56</v>
      </c>
      <c r="G26" s="25">
        <f>F26*Тохиргоо!$B$3</f>
        <v>4480000</v>
      </c>
      <c r="H26" s="26">
        <f>G26/Тохиргоо!$B$5</f>
        <v>1298.5507246376812</v>
      </c>
      <c r="I26" s="20" t="s">
        <v>59</v>
      </c>
      <c r="J26" s="24">
        <v>60</v>
      </c>
      <c r="K26" s="25">
        <f>J26*Тохиргоо!$B$4</f>
        <v>1200000</v>
      </c>
      <c r="L26" s="21" t="s">
        <v>142</v>
      </c>
    </row>
    <row r="27" spans="1:12" ht="42.75" x14ac:dyDescent="0.25">
      <c r="A27" s="20">
        <v>26</v>
      </c>
      <c r="B27" s="21" t="s">
        <v>139</v>
      </c>
      <c r="C27" s="22" t="s">
        <v>143</v>
      </c>
      <c r="D27" s="21" t="s">
        <v>144</v>
      </c>
      <c r="E27" s="23">
        <v>4</v>
      </c>
      <c r="F27" s="24">
        <v>64</v>
      </c>
      <c r="G27" s="25">
        <f>F27*Тохиргоо!$B$3</f>
        <v>5120000</v>
      </c>
      <c r="H27" s="26">
        <f>G27/Тохиргоо!$B$5</f>
        <v>1484.0579710144928</v>
      </c>
      <c r="I27" s="20" t="s">
        <v>59</v>
      </c>
      <c r="J27" s="24">
        <v>80</v>
      </c>
      <c r="K27" s="25">
        <f>J27*Тохиргоо!$B$4</f>
        <v>1600000</v>
      </c>
      <c r="L27" s="21" t="s">
        <v>145</v>
      </c>
    </row>
    <row r="28" spans="1:12" ht="42.75" x14ac:dyDescent="0.25">
      <c r="A28" s="20">
        <v>27</v>
      </c>
      <c r="B28" s="21" t="s">
        <v>146</v>
      </c>
      <c r="C28" s="22" t="s">
        <v>147</v>
      </c>
      <c r="D28" s="21" t="s">
        <v>148</v>
      </c>
      <c r="E28" s="23">
        <v>4</v>
      </c>
      <c r="F28" s="24">
        <v>56</v>
      </c>
      <c r="G28" s="25">
        <f>F28*Тохиргоо!$B$3</f>
        <v>4480000</v>
      </c>
      <c r="H28" s="26">
        <f>G28/Тохиргоо!$B$5</f>
        <v>1298.5507246376812</v>
      </c>
      <c r="I28" s="20" t="s">
        <v>59</v>
      </c>
      <c r="J28" s="24">
        <v>50</v>
      </c>
      <c r="K28" s="25">
        <f>J28*Тохиргоо!$B$4</f>
        <v>1000000</v>
      </c>
      <c r="L28" s="21" t="s">
        <v>149</v>
      </c>
    </row>
    <row r="29" spans="1:12" ht="42.75" x14ac:dyDescent="0.25">
      <c r="A29" s="20">
        <v>28</v>
      </c>
      <c r="B29" s="21" t="s">
        <v>146</v>
      </c>
      <c r="C29" s="22" t="s">
        <v>150</v>
      </c>
      <c r="D29" s="21" t="s">
        <v>151</v>
      </c>
      <c r="E29" s="23">
        <v>5</v>
      </c>
      <c r="F29" s="24">
        <v>120</v>
      </c>
      <c r="G29" s="25">
        <f>F29*Тохиргоо!$B$3</f>
        <v>9600000</v>
      </c>
      <c r="H29" s="26">
        <f>G29/Тохиргоо!$B$5</f>
        <v>2782.608695652174</v>
      </c>
      <c r="I29" s="20" t="s">
        <v>59</v>
      </c>
      <c r="J29" s="24">
        <v>150</v>
      </c>
      <c r="K29" s="25">
        <f>J29*Тохиргоо!$B$4</f>
        <v>3000000</v>
      </c>
      <c r="L29" s="21" t="s">
        <v>152</v>
      </c>
    </row>
    <row r="30" spans="1:12" ht="30" x14ac:dyDescent="0.25">
      <c r="A30" s="20">
        <v>29</v>
      </c>
      <c r="B30" s="21" t="s">
        <v>146</v>
      </c>
      <c r="C30" s="22" t="s">
        <v>153</v>
      </c>
      <c r="D30" s="21" t="s">
        <v>154</v>
      </c>
      <c r="E30" s="23">
        <v>2</v>
      </c>
      <c r="F30" s="24">
        <v>32</v>
      </c>
      <c r="G30" s="25">
        <f>F30*Тохиргоо!$B$3</f>
        <v>2560000</v>
      </c>
      <c r="H30" s="26">
        <f>G30/Тохиргоо!$B$5</f>
        <v>742.02898550724638</v>
      </c>
      <c r="I30" s="20" t="s">
        <v>63</v>
      </c>
      <c r="J30" s="24">
        <v>0</v>
      </c>
      <c r="K30" s="25">
        <f>J30*Тохиргоо!$B$4</f>
        <v>0</v>
      </c>
      <c r="L30" s="21" t="s">
        <v>155</v>
      </c>
    </row>
    <row r="31" spans="1:12" ht="42.75" x14ac:dyDescent="0.25">
      <c r="A31" s="20">
        <v>30</v>
      </c>
      <c r="B31" s="21" t="s">
        <v>146</v>
      </c>
      <c r="C31" s="22" t="s">
        <v>156</v>
      </c>
      <c r="D31" s="21" t="s">
        <v>157</v>
      </c>
      <c r="E31" s="23">
        <v>5</v>
      </c>
      <c r="F31" s="24">
        <v>100</v>
      </c>
      <c r="G31" s="25">
        <f>F31*Тохиргоо!$B$3</f>
        <v>8000000</v>
      </c>
      <c r="H31" s="26">
        <f>G31/Тохиргоо!$B$5</f>
        <v>2318.840579710145</v>
      </c>
      <c r="I31" s="20" t="s">
        <v>59</v>
      </c>
      <c r="J31" s="24">
        <v>96</v>
      </c>
      <c r="K31" s="25">
        <f>J31*Тохиргоо!$B$4</f>
        <v>1920000</v>
      </c>
      <c r="L31" s="21" t="s">
        <v>158</v>
      </c>
    </row>
    <row r="32" spans="1:12" ht="42.75" x14ac:dyDescent="0.25">
      <c r="A32" s="20">
        <v>31</v>
      </c>
      <c r="B32" s="21" t="s">
        <v>146</v>
      </c>
      <c r="C32" s="22" t="s">
        <v>159</v>
      </c>
      <c r="D32" s="21" t="s">
        <v>160</v>
      </c>
      <c r="E32" s="23">
        <v>5</v>
      </c>
      <c r="F32" s="24">
        <v>160</v>
      </c>
      <c r="G32" s="25">
        <f>F32*Тохиргоо!$B$3</f>
        <v>12800000</v>
      </c>
      <c r="H32" s="26">
        <f>G32/Тохиргоо!$B$5</f>
        <v>3710.144927536232</v>
      </c>
      <c r="I32" s="20" t="s">
        <v>59</v>
      </c>
      <c r="J32" s="24">
        <v>192</v>
      </c>
      <c r="K32" s="25">
        <f>J32*Тохиргоо!$B$4</f>
        <v>3840000</v>
      </c>
      <c r="L32" s="21" t="s">
        <v>161</v>
      </c>
    </row>
    <row r="33" spans="1:12" ht="28.5" x14ac:dyDescent="0.25">
      <c r="A33" s="20">
        <v>32</v>
      </c>
      <c r="B33" s="21" t="s">
        <v>146</v>
      </c>
      <c r="C33" s="22" t="s">
        <v>162</v>
      </c>
      <c r="D33" s="21" t="s">
        <v>163</v>
      </c>
      <c r="E33" s="23">
        <v>3</v>
      </c>
      <c r="F33" s="24">
        <v>40</v>
      </c>
      <c r="G33" s="25">
        <f>F33*Тохиргоо!$B$3</f>
        <v>3200000</v>
      </c>
      <c r="H33" s="26">
        <f>G33/Тохиргоо!$B$5</f>
        <v>927.536231884058</v>
      </c>
      <c r="I33" s="20" t="s">
        <v>63</v>
      </c>
      <c r="J33" s="24">
        <v>24</v>
      </c>
      <c r="K33" s="25">
        <f>J33*Тохиргоо!$B$4</f>
        <v>480000</v>
      </c>
      <c r="L33" s="21" t="s">
        <v>164</v>
      </c>
    </row>
    <row r="34" spans="1:12" ht="42.75" x14ac:dyDescent="0.25">
      <c r="A34" s="20">
        <v>33</v>
      </c>
      <c r="B34" s="21" t="s">
        <v>146</v>
      </c>
      <c r="C34" s="22" t="s">
        <v>165</v>
      </c>
      <c r="D34" s="21" t="s">
        <v>166</v>
      </c>
      <c r="E34" s="23">
        <v>4</v>
      </c>
      <c r="F34" s="24">
        <v>60</v>
      </c>
      <c r="G34" s="25">
        <f>F34*Тохиргоо!$B$3</f>
        <v>4800000</v>
      </c>
      <c r="H34" s="26">
        <f>G34/Тохиргоо!$B$5</f>
        <v>1391.304347826087</v>
      </c>
      <c r="I34" s="20" t="s">
        <v>59</v>
      </c>
      <c r="J34" s="24">
        <v>24</v>
      </c>
      <c r="K34" s="25">
        <f>J34*Тохиргоо!$B$4</f>
        <v>480000</v>
      </c>
      <c r="L34" s="21" t="s">
        <v>167</v>
      </c>
    </row>
    <row r="35" spans="1:12" ht="30" x14ac:dyDescent="0.25">
      <c r="A35" s="20">
        <v>34</v>
      </c>
      <c r="B35" s="21" t="s">
        <v>146</v>
      </c>
      <c r="C35" s="22" t="s">
        <v>168</v>
      </c>
      <c r="D35" s="21" t="s">
        <v>169</v>
      </c>
      <c r="E35" s="23">
        <v>3</v>
      </c>
      <c r="F35" s="24">
        <v>32</v>
      </c>
      <c r="G35" s="25">
        <f>F35*Тохиргоо!$B$3</f>
        <v>2560000</v>
      </c>
      <c r="H35" s="26">
        <f>G35/Тохиргоо!$B$5</f>
        <v>742.02898550724638</v>
      </c>
      <c r="I35" s="20" t="s">
        <v>63</v>
      </c>
      <c r="J35" s="24">
        <v>24</v>
      </c>
      <c r="K35" s="25">
        <f>J35*Тохиргоо!$B$4</f>
        <v>480000</v>
      </c>
      <c r="L35" s="21" t="s">
        <v>170</v>
      </c>
    </row>
    <row r="36" spans="1:12" ht="28.5" x14ac:dyDescent="0.25">
      <c r="A36" s="20">
        <v>35</v>
      </c>
      <c r="B36" s="21" t="s">
        <v>146</v>
      </c>
      <c r="C36" s="22" t="s">
        <v>171</v>
      </c>
      <c r="D36" s="21" t="s">
        <v>172</v>
      </c>
      <c r="E36" s="23">
        <v>2</v>
      </c>
      <c r="F36" s="24">
        <v>16</v>
      </c>
      <c r="G36" s="25">
        <f>F36*Тохиргоо!$B$3</f>
        <v>1280000</v>
      </c>
      <c r="H36" s="26">
        <f>G36/Тохиргоо!$B$5</f>
        <v>371.01449275362319</v>
      </c>
      <c r="I36" s="20" t="s">
        <v>67</v>
      </c>
      <c r="J36" s="24">
        <v>12</v>
      </c>
      <c r="K36" s="25">
        <f>J36*Тохиргоо!$B$4</f>
        <v>240000</v>
      </c>
      <c r="L36" s="21" t="s">
        <v>173</v>
      </c>
    </row>
    <row r="37" spans="1:12" ht="42.75" x14ac:dyDescent="0.25">
      <c r="A37" s="20">
        <v>36</v>
      </c>
      <c r="B37" s="21" t="s">
        <v>146</v>
      </c>
      <c r="C37" s="22" t="s">
        <v>174</v>
      </c>
      <c r="D37" s="21" t="s">
        <v>175</v>
      </c>
      <c r="E37" s="23">
        <v>5</v>
      </c>
      <c r="F37" s="24">
        <v>80</v>
      </c>
      <c r="G37" s="25">
        <f>F37*Тохиргоо!$B$3</f>
        <v>6400000</v>
      </c>
      <c r="H37" s="26">
        <f>G37/Тохиргоо!$B$5</f>
        <v>1855.072463768116</v>
      </c>
      <c r="I37" s="20" t="s">
        <v>59</v>
      </c>
      <c r="J37" s="24">
        <v>48</v>
      </c>
      <c r="K37" s="25">
        <f>J37*Тохиргоо!$B$4</f>
        <v>960000</v>
      </c>
      <c r="L37" s="21" t="s">
        <v>176</v>
      </c>
    </row>
    <row r="38" spans="1:12" ht="42.75" x14ac:dyDescent="0.25">
      <c r="A38" s="20">
        <v>37</v>
      </c>
      <c r="B38" s="21" t="s">
        <v>146</v>
      </c>
      <c r="C38" s="22" t="s">
        <v>177</v>
      </c>
      <c r="D38" s="21" t="s">
        <v>178</v>
      </c>
      <c r="E38" s="23">
        <v>5</v>
      </c>
      <c r="F38" s="24">
        <v>100</v>
      </c>
      <c r="G38" s="25">
        <f>F38*Тохиргоо!$B$3</f>
        <v>8000000</v>
      </c>
      <c r="H38" s="26">
        <f>G38/Тохиргоо!$B$5</f>
        <v>2318.840579710145</v>
      </c>
      <c r="I38" s="20" t="s">
        <v>59</v>
      </c>
      <c r="J38" s="24">
        <v>96</v>
      </c>
      <c r="K38" s="25">
        <f>J38*Тохиргоо!$B$4</f>
        <v>1920000</v>
      </c>
      <c r="L38" s="21" t="s">
        <v>179</v>
      </c>
    </row>
    <row r="39" spans="1:12" ht="28.5" x14ac:dyDescent="0.25">
      <c r="A39" s="27"/>
      <c r="B39" s="27"/>
      <c r="C39" s="28" t="s">
        <v>180</v>
      </c>
      <c r="D39" s="27"/>
      <c r="E39" s="27"/>
      <c r="F39" s="29">
        <f>SUM(F2:F38)</f>
        <v>2180</v>
      </c>
      <c r="G39" s="30">
        <f>SUM(G2:G38)</f>
        <v>174400000</v>
      </c>
      <c r="H39" s="31">
        <f>SUM(H2:H38)</f>
        <v>50550.724637681167</v>
      </c>
      <c r="I39" s="27"/>
      <c r="J39" s="29">
        <f>SUM(J2:J38)</f>
        <v>1654</v>
      </c>
      <c r="K39" s="30">
        <f>SUM(K2:K38)</f>
        <v>33080000</v>
      </c>
      <c r="L39" s="32" t="s">
        <v>181</v>
      </c>
    </row>
  </sheetData>
  <autoFilter ref="A1:L38" xr:uid="{00000000-0009-0000-0000-000002000000}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2"/>
  <sheetViews>
    <sheetView workbookViewId="0"/>
  </sheetViews>
  <sheetFormatPr defaultRowHeight="15" x14ac:dyDescent="0.25"/>
  <cols>
    <col min="1" max="1" width="20" customWidth="1"/>
    <col min="2" max="2" width="14" customWidth="1"/>
    <col min="3" max="3" width="18" customWidth="1"/>
    <col min="4" max="4" width="20" customWidth="1"/>
    <col min="5" max="5" width="10" customWidth="1"/>
    <col min="6" max="6" width="20" customWidth="1"/>
  </cols>
  <sheetData>
    <row r="1" spans="1:6" ht="30" x14ac:dyDescent="0.25">
      <c r="A1" s="19" t="s">
        <v>46</v>
      </c>
      <c r="B1" s="19" t="s">
        <v>5</v>
      </c>
      <c r="C1" s="19" t="s">
        <v>182</v>
      </c>
      <c r="D1" s="19" t="s">
        <v>51</v>
      </c>
      <c r="E1" s="19" t="s">
        <v>183</v>
      </c>
      <c r="F1" s="19" t="s">
        <v>12</v>
      </c>
    </row>
    <row r="2" spans="1:6" x14ac:dyDescent="0.25">
      <c r="A2" s="33" t="s">
        <v>56</v>
      </c>
      <c r="B2" s="8">
        <f>COUNTIF(Чадварууд!$B$2:$B$38,A2)</f>
        <v>6</v>
      </c>
      <c r="C2" s="8">
        <f>SUMIF(Чадварууд!$B$2:$B$38,A2,Чадварууд!$F$2:$F$38)</f>
        <v>336</v>
      </c>
      <c r="D2" s="9">
        <f>SUMIF(Чадварууд!$B$2:$B$38,A2,Чадварууд!$G$2:$G$38)</f>
        <v>26880000</v>
      </c>
      <c r="E2" s="34">
        <f t="shared" ref="E2:E11" si="0">IF($D$12=0,0,D2/$D$12)</f>
        <v>0.15412844036697249</v>
      </c>
      <c r="F2" s="9">
        <f>SUMIF(Чадварууд!$B$2:$B$38,A2,Чадварууд!$K$2:$K$38)</f>
        <v>240000</v>
      </c>
    </row>
    <row r="3" spans="1:6" x14ac:dyDescent="0.25">
      <c r="A3" s="33" t="s">
        <v>78</v>
      </c>
      <c r="B3" s="8">
        <f>COUNTIF(Чадварууд!$B$2:$B$38,A3)</f>
        <v>2</v>
      </c>
      <c r="C3" s="8">
        <f>SUMIF(Чадварууд!$B$2:$B$38,A3,Чадварууд!$F$2:$F$38)</f>
        <v>100</v>
      </c>
      <c r="D3" s="9">
        <f>SUMIF(Чадварууд!$B$2:$B$38,A3,Чадварууд!$G$2:$G$38)</f>
        <v>8000000</v>
      </c>
      <c r="E3" s="34">
        <f t="shared" si="0"/>
        <v>4.5871559633027525E-2</v>
      </c>
      <c r="F3" s="9">
        <f>SUMIF(Чадварууд!$B$2:$B$38,A3,Чадварууд!$K$2:$K$38)</f>
        <v>800000</v>
      </c>
    </row>
    <row r="4" spans="1:6" x14ac:dyDescent="0.25">
      <c r="A4" s="33" t="s">
        <v>85</v>
      </c>
      <c r="B4" s="8">
        <f>COUNTIF(Чадварууд!$B$2:$B$38,A4)</f>
        <v>1</v>
      </c>
      <c r="C4" s="8">
        <f>SUMIF(Чадварууд!$B$2:$B$38,A4,Чадварууд!$F$2:$F$38)</f>
        <v>32</v>
      </c>
      <c r="D4" s="9">
        <f>SUMIF(Чадварууд!$B$2:$B$38,A4,Чадварууд!$G$2:$G$38)</f>
        <v>2560000</v>
      </c>
      <c r="E4" s="34">
        <f t="shared" si="0"/>
        <v>1.4678899082568808E-2</v>
      </c>
      <c r="F4" s="9">
        <f>SUMIF(Чадварууд!$B$2:$B$38,A4,Чадварууд!$K$2:$K$38)</f>
        <v>480000</v>
      </c>
    </row>
    <row r="5" spans="1:6" x14ac:dyDescent="0.25">
      <c r="A5" s="33" t="s">
        <v>89</v>
      </c>
      <c r="B5" s="8">
        <f>COUNTIF(Чадварууд!$B$2:$B$38,A5)</f>
        <v>1</v>
      </c>
      <c r="C5" s="8">
        <f>SUMIF(Чадварууд!$B$2:$B$38,A5,Чадварууд!$F$2:$F$38)</f>
        <v>60</v>
      </c>
      <c r="D5" s="9">
        <f>SUMIF(Чадварууд!$B$2:$B$38,A5,Чадварууд!$G$2:$G$38)</f>
        <v>4800000</v>
      </c>
      <c r="E5" s="34">
        <f t="shared" si="0"/>
        <v>2.7522935779816515E-2</v>
      </c>
      <c r="F5" s="9">
        <f>SUMIF(Чадварууд!$B$2:$B$38,A5,Чадварууд!$K$2:$K$38)</f>
        <v>2000000</v>
      </c>
    </row>
    <row r="6" spans="1:6" x14ac:dyDescent="0.25">
      <c r="A6" s="33" t="s">
        <v>93</v>
      </c>
      <c r="B6" s="8">
        <f>COUNTIF(Чадварууд!$B$2:$B$38,A6)</f>
        <v>3</v>
      </c>
      <c r="C6" s="8">
        <f>SUMIF(Чадварууд!$B$2:$B$38,A6,Чадварууд!$F$2:$F$38)</f>
        <v>136</v>
      </c>
      <c r="D6" s="9">
        <f>SUMIF(Чадварууд!$B$2:$B$38,A6,Чадварууд!$G$2:$G$38)</f>
        <v>10880000</v>
      </c>
      <c r="E6" s="34">
        <f t="shared" si="0"/>
        <v>6.2385321100917435E-2</v>
      </c>
      <c r="F6" s="9">
        <f>SUMIF(Чадварууд!$B$2:$B$38,A6,Чадварууд!$K$2:$K$38)</f>
        <v>2400000</v>
      </c>
    </row>
    <row r="7" spans="1:6" x14ac:dyDescent="0.25">
      <c r="A7" s="33" t="s">
        <v>103</v>
      </c>
      <c r="B7" s="8">
        <f>COUNTIF(Чадварууд!$B$2:$B$38,A7)</f>
        <v>5</v>
      </c>
      <c r="C7" s="8">
        <f>SUMIF(Чадварууд!$B$2:$B$38,A7,Чадварууд!$F$2:$F$38)</f>
        <v>312</v>
      </c>
      <c r="D7" s="9">
        <f>SUMIF(Чадварууд!$B$2:$B$38,A7,Чадварууд!$G$2:$G$38)</f>
        <v>24960000</v>
      </c>
      <c r="E7" s="34">
        <f t="shared" si="0"/>
        <v>0.14311926605504588</v>
      </c>
      <c r="F7" s="9">
        <f>SUMIF(Чадварууд!$B$2:$B$38,A7,Чадварууд!$K$2:$K$38)</f>
        <v>5400000</v>
      </c>
    </row>
    <row r="8" spans="1:6" x14ac:dyDescent="0.25">
      <c r="A8" s="33" t="s">
        <v>119</v>
      </c>
      <c r="B8" s="8">
        <f>COUNTIF(Чадварууд!$B$2:$B$38,A8)</f>
        <v>1</v>
      </c>
      <c r="C8" s="8">
        <f>SUMIF(Чадварууд!$B$2:$B$38,A8,Чадварууд!$F$2:$F$38)</f>
        <v>32</v>
      </c>
      <c r="D8" s="9">
        <f>SUMIF(Чадварууд!$B$2:$B$38,A8,Чадварууд!$G$2:$G$38)</f>
        <v>2560000</v>
      </c>
      <c r="E8" s="34">
        <f t="shared" si="0"/>
        <v>1.4678899082568808E-2</v>
      </c>
      <c r="F8" s="9">
        <f>SUMIF(Чадварууд!$B$2:$B$38,A8,Чадварууд!$K$2:$K$38)</f>
        <v>800000</v>
      </c>
    </row>
    <row r="9" spans="1:6" x14ac:dyDescent="0.25">
      <c r="A9" s="33" t="s">
        <v>123</v>
      </c>
      <c r="B9" s="8">
        <f>COUNTIF(Чадварууд!$B$2:$B$38,A9)</f>
        <v>5</v>
      </c>
      <c r="C9" s="8">
        <f>SUMIF(Чадварууд!$B$2:$B$38,A9,Чадварууд!$F$2:$F$38)</f>
        <v>256</v>
      </c>
      <c r="D9" s="9">
        <f>SUMIF(Чадварууд!$B$2:$B$38,A9,Чадварууд!$G$2:$G$38)</f>
        <v>20480000</v>
      </c>
      <c r="E9" s="34">
        <f t="shared" si="0"/>
        <v>0.11743119266055047</v>
      </c>
      <c r="F9" s="9">
        <f>SUMIF(Чадварууд!$B$2:$B$38,A9,Чадварууд!$K$2:$K$38)</f>
        <v>3840000</v>
      </c>
    </row>
    <row r="10" spans="1:6" x14ac:dyDescent="0.25">
      <c r="A10" s="33" t="s">
        <v>139</v>
      </c>
      <c r="B10" s="8">
        <f>COUNTIF(Чадварууд!$B$2:$B$38,A10)</f>
        <v>2</v>
      </c>
      <c r="C10" s="8">
        <f>SUMIF(Чадварууд!$B$2:$B$38,A10,Чадварууд!$F$2:$F$38)</f>
        <v>120</v>
      </c>
      <c r="D10" s="9">
        <f>SUMIF(Чадварууд!$B$2:$B$38,A10,Чадварууд!$G$2:$G$38)</f>
        <v>9600000</v>
      </c>
      <c r="E10" s="34">
        <f t="shared" si="0"/>
        <v>5.5045871559633031E-2</v>
      </c>
      <c r="F10" s="9">
        <f>SUMIF(Чадварууд!$B$2:$B$38,A10,Чадварууд!$K$2:$K$38)</f>
        <v>2800000</v>
      </c>
    </row>
    <row r="11" spans="1:6" x14ac:dyDescent="0.25">
      <c r="A11" s="33" t="s">
        <v>146</v>
      </c>
      <c r="B11" s="8">
        <f>COUNTIF(Чадварууд!$B$2:$B$38,A11)</f>
        <v>11</v>
      </c>
      <c r="C11" s="8">
        <f>SUMIF(Чадварууд!$B$2:$B$38,A11,Чадварууд!$F$2:$F$38)</f>
        <v>796</v>
      </c>
      <c r="D11" s="9">
        <f>SUMIF(Чадварууд!$B$2:$B$38,A11,Чадварууд!$G$2:$G$38)</f>
        <v>63680000</v>
      </c>
      <c r="E11" s="34">
        <f t="shared" si="0"/>
        <v>0.3651376146788991</v>
      </c>
      <c r="F11" s="9">
        <f>SUMIF(Чадварууд!$B$2:$B$38,A11,Чадварууд!$K$2:$K$38)</f>
        <v>14320000</v>
      </c>
    </row>
    <row r="12" spans="1:6" x14ac:dyDescent="0.25">
      <c r="A12" s="28" t="s">
        <v>180</v>
      </c>
      <c r="B12" s="29">
        <f>SUM(B2:B11)</f>
        <v>37</v>
      </c>
      <c r="C12" s="29">
        <f>SUM(C2:C11)</f>
        <v>2180</v>
      </c>
      <c r="D12" s="30">
        <f>SUM(D2:D11)</f>
        <v>174400000</v>
      </c>
      <c r="E12" s="35">
        <f>SUM(E2:E11)</f>
        <v>1</v>
      </c>
      <c r="F12" s="30">
        <f>SUM(F2:F11)</f>
        <v>33080000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6"/>
  <sheetViews>
    <sheetView workbookViewId="0"/>
  </sheetViews>
  <sheetFormatPr defaultRowHeight="15" x14ac:dyDescent="0.25"/>
  <cols>
    <col min="1" max="1" width="45" customWidth="1"/>
    <col min="2" max="2" width="100" customWidth="1"/>
    <col min="3" max="3" width="10" customWidth="1"/>
  </cols>
  <sheetData>
    <row r="1" spans="1:3" ht="18" x14ac:dyDescent="0.25">
      <c r="A1" s="1" t="s">
        <v>184</v>
      </c>
      <c r="B1" s="2"/>
      <c r="C1" s="2"/>
    </row>
    <row r="2" spans="1:3" x14ac:dyDescent="0.25">
      <c r="A2" s="2"/>
      <c r="B2" s="2"/>
      <c r="C2" s="2"/>
    </row>
    <row r="3" spans="1:3" ht="45" customHeight="1" x14ac:dyDescent="0.25">
      <c r="A3" s="11" t="s">
        <v>185</v>
      </c>
      <c r="B3" s="36" t="s">
        <v>186</v>
      </c>
      <c r="C3" s="2"/>
    </row>
    <row r="4" spans="1:3" ht="45" customHeight="1" x14ac:dyDescent="0.25">
      <c r="A4" s="11" t="s">
        <v>49</v>
      </c>
      <c r="B4" s="36" t="s">
        <v>187</v>
      </c>
      <c r="C4" s="2"/>
    </row>
    <row r="5" spans="1:3" ht="45" customHeight="1" x14ac:dyDescent="0.25">
      <c r="A5" s="11" t="s">
        <v>188</v>
      </c>
      <c r="B5" s="36" t="s">
        <v>189</v>
      </c>
      <c r="C5" s="2"/>
    </row>
    <row r="6" spans="1:3" ht="45" customHeight="1" x14ac:dyDescent="0.25">
      <c r="A6" s="11" t="s">
        <v>190</v>
      </c>
      <c r="B6" s="36" t="s">
        <v>191</v>
      </c>
      <c r="C6" s="2"/>
    </row>
    <row r="7" spans="1:3" x14ac:dyDescent="0.25">
      <c r="A7" s="2"/>
      <c r="B7" s="2"/>
      <c r="C7" s="2"/>
    </row>
    <row r="8" spans="1:3" x14ac:dyDescent="0.25">
      <c r="A8" s="11" t="s">
        <v>192</v>
      </c>
      <c r="B8" s="2"/>
      <c r="C8" s="2"/>
    </row>
    <row r="9" spans="1:3" x14ac:dyDescent="0.25">
      <c r="A9" s="2" t="s">
        <v>193</v>
      </c>
      <c r="B9" s="37">
        <v>14050</v>
      </c>
      <c r="C9" s="2" t="s">
        <v>194</v>
      </c>
    </row>
    <row r="10" spans="1:3" x14ac:dyDescent="0.25">
      <c r="A10" s="2" t="s">
        <v>195</v>
      </c>
      <c r="B10" s="37">
        <v>6502</v>
      </c>
      <c r="C10" s="2" t="s">
        <v>194</v>
      </c>
    </row>
    <row r="11" spans="1:3" x14ac:dyDescent="0.25">
      <c r="A11" s="2" t="s">
        <v>196</v>
      </c>
      <c r="B11" s="37">
        <v>70</v>
      </c>
      <c r="C11" s="2" t="s">
        <v>197</v>
      </c>
    </row>
    <row r="12" spans="1:3" x14ac:dyDescent="0.25">
      <c r="A12" s="2" t="s">
        <v>198</v>
      </c>
      <c r="B12" s="37">
        <v>15428</v>
      </c>
      <c r="C12" s="2" t="s">
        <v>194</v>
      </c>
    </row>
    <row r="13" spans="1:3" x14ac:dyDescent="0.25">
      <c r="A13" s="2" t="s">
        <v>199</v>
      </c>
      <c r="B13" s="37">
        <v>83</v>
      </c>
      <c r="C13" s="2" t="s">
        <v>197</v>
      </c>
    </row>
    <row r="14" spans="1:3" x14ac:dyDescent="0.25">
      <c r="A14" s="2" t="s">
        <v>200</v>
      </c>
      <c r="B14" s="37">
        <v>3</v>
      </c>
      <c r="C14" s="2" t="s">
        <v>201</v>
      </c>
    </row>
    <row r="15" spans="1:3" x14ac:dyDescent="0.25">
      <c r="A15" s="2" t="s">
        <v>202</v>
      </c>
      <c r="B15" s="37">
        <v>32</v>
      </c>
      <c r="C15" s="2" t="s">
        <v>203</v>
      </c>
    </row>
    <row r="16" spans="1:3" x14ac:dyDescent="0.25">
      <c r="A16" s="2" t="s">
        <v>204</v>
      </c>
      <c r="B16" s="37">
        <v>2</v>
      </c>
      <c r="C16" s="2" t="s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Дүгнэлт</vt:lpstr>
      <vt:lpstr>Тохиргоо</vt:lpstr>
      <vt:lpstr>Чадварууд</vt:lpstr>
      <vt:lpstr>Бүлгээр</vt:lpstr>
      <vt:lpstr>Арга зүй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Bayarjargal Otgonbayar</cp:lastModifiedBy>
  <dcterms:created xsi:type="dcterms:W3CDTF">2026-10-09T04:12:43Z</dcterms:created>
  <dcterms:modified xsi:type="dcterms:W3CDTF">2026-10-09T04:12:54Z</dcterms:modified>
</cp:coreProperties>
</file>